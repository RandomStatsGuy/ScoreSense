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Aaron D" sheetId="2" r:id="rId5"/>
    <sheet state="visible" name="Andrew M" sheetId="3" r:id="rId6"/>
    <sheet state="visible" name="Caleb K" sheetId="4" r:id="rId7"/>
    <sheet state="visible" name="Chris G" sheetId="5" r:id="rId8"/>
    <sheet state="visible" name="Colby L" sheetId="6" r:id="rId9"/>
    <sheet state="visible" name="Dawson O" sheetId="7" r:id="rId10"/>
    <sheet state="visible" name="Josh C" sheetId="8" r:id="rId11"/>
    <sheet state="visible" name="Justin P" sheetId="9" r:id="rId12"/>
    <sheet state="visible" name="Nick F" sheetId="10" r:id="rId13"/>
    <sheet state="visible" name="Stephen P" sheetId="11" r:id="rId14"/>
    <sheet state="visible" name="Example" sheetId="12" r:id="rId15"/>
  </sheets>
  <definedNames/>
  <calcPr/>
  <extLst>
    <ext uri="GoogleSheetsCustomDataVersion2">
      <go:sheetsCustomData xmlns:go="http://customooxmlschemas.google.com/" r:id="rId16" roundtripDataChecksum="Er55Y293t0T4yXzq5iBY7LzcafJL5tsBnqsNpuwgtVc="/>
    </ext>
  </extLst>
</workbook>
</file>

<file path=xl/sharedStrings.xml><?xml version="1.0" encoding="utf-8"?>
<sst xmlns="http://schemas.openxmlformats.org/spreadsheetml/2006/main" count="1752" uniqueCount="521">
  <si>
    <t>Aaron D</t>
  </si>
  <si>
    <t>Andrew M</t>
  </si>
  <si>
    <t>Caleb K</t>
  </si>
  <si>
    <t>Chris G</t>
  </si>
  <si>
    <t>Colby L</t>
  </si>
  <si>
    <t>Dawson O</t>
  </si>
  <si>
    <t>Pos</t>
  </si>
  <si>
    <t>Player</t>
  </si>
  <si>
    <t>$</t>
  </si>
  <si>
    <t>QB</t>
  </si>
  <si>
    <t>T Tagovailoa</t>
  </si>
  <si>
    <t>R Tanehill</t>
  </si>
  <si>
    <t>L Jackson</t>
  </si>
  <si>
    <t>D Prescott</t>
  </si>
  <si>
    <t>M Jones</t>
  </si>
  <si>
    <t>J Allen</t>
  </si>
  <si>
    <t>P. Mahomes</t>
  </si>
  <si>
    <t>T Lance</t>
  </si>
  <si>
    <t>K Pickett</t>
  </si>
  <si>
    <t>M Stafford</t>
  </si>
  <si>
    <t>K Cousins</t>
  </si>
  <si>
    <t>D Carr</t>
  </si>
  <si>
    <t>T Brady</t>
  </si>
  <si>
    <t>D Watson</t>
  </si>
  <si>
    <t>RB</t>
  </si>
  <si>
    <t>J Taylor</t>
  </si>
  <si>
    <t>N Harris</t>
  </si>
  <si>
    <t>A Ekeler</t>
  </si>
  <si>
    <t>N Chubb</t>
  </si>
  <si>
    <t>D Henry</t>
  </si>
  <si>
    <t>D Swift</t>
  </si>
  <si>
    <t>A Gibson</t>
  </si>
  <si>
    <t>B. Hall</t>
  </si>
  <si>
    <t>J Jacobs</t>
  </si>
  <si>
    <t>C Edwards-H</t>
  </si>
  <si>
    <t>A Jones</t>
  </si>
  <si>
    <t>C Edmonds</t>
  </si>
  <si>
    <t>T Pollard</t>
  </si>
  <si>
    <t>D Singletary</t>
  </si>
  <si>
    <t>I Spiller</t>
  </si>
  <si>
    <t>M Sanders</t>
  </si>
  <si>
    <t>K Hunt</t>
  </si>
  <si>
    <t>JK Dobbins</t>
  </si>
  <si>
    <t>K Walker</t>
  </si>
  <si>
    <t>K Drake</t>
  </si>
  <si>
    <t>R White</t>
  </si>
  <si>
    <t>AJ Dillon</t>
  </si>
  <si>
    <t>R. Mostert</t>
  </si>
  <si>
    <t>C Akers</t>
  </si>
  <si>
    <t>M. Ingram</t>
  </si>
  <si>
    <t>D. Pierce</t>
  </si>
  <si>
    <t>J Connor</t>
  </si>
  <si>
    <t>D Henderson</t>
  </si>
  <si>
    <t>T Allgeier</t>
  </si>
  <si>
    <t>K Gainwell</t>
  </si>
  <si>
    <t>R Stevenson</t>
  </si>
  <si>
    <t>N Hines</t>
  </si>
  <si>
    <t>L Fournette</t>
  </si>
  <si>
    <t>T Etienne</t>
  </si>
  <si>
    <t>J White</t>
  </si>
  <si>
    <t>J. Cook</t>
  </si>
  <si>
    <t>K Herbert</t>
  </si>
  <si>
    <t>Z White</t>
  </si>
  <si>
    <t>WR</t>
  </si>
  <si>
    <t>AJ Brown</t>
  </si>
  <si>
    <t>S Diggs</t>
  </si>
  <si>
    <t>T Hill</t>
  </si>
  <si>
    <t>K Allen</t>
  </si>
  <si>
    <t>T McLaughlin</t>
  </si>
  <si>
    <t>D. Hopkins</t>
  </si>
  <si>
    <t>DJ Moore</t>
  </si>
  <si>
    <t>C Olave</t>
  </si>
  <si>
    <t>R Woods</t>
  </si>
  <si>
    <t>C Lamb</t>
  </si>
  <si>
    <t>D Johnson</t>
  </si>
  <si>
    <t>D Samuel</t>
  </si>
  <si>
    <t>D Smith</t>
  </si>
  <si>
    <t>B Aiyuk</t>
  </si>
  <si>
    <t>C Godwin</t>
  </si>
  <si>
    <t>G Pickens</t>
  </si>
  <si>
    <t>J Jeudy</t>
  </si>
  <si>
    <t>J Chase</t>
  </si>
  <si>
    <t>J Williams</t>
  </si>
  <si>
    <t>M Thomas</t>
  </si>
  <si>
    <t>J Landry</t>
  </si>
  <si>
    <t>R Doubs</t>
  </si>
  <si>
    <t>C Watson</t>
  </si>
  <si>
    <t>G Davis</t>
  </si>
  <si>
    <t>J Waddle</t>
  </si>
  <si>
    <t>G Wilson</t>
  </si>
  <si>
    <t>W Fuller</t>
  </si>
  <si>
    <t>C Davis</t>
  </si>
  <si>
    <t>DJ Chark</t>
  </si>
  <si>
    <t>R Anderson</t>
  </si>
  <si>
    <t>J Smith-Sch.</t>
  </si>
  <si>
    <t>D Mooney</t>
  </si>
  <si>
    <t>K. Toney</t>
  </si>
  <si>
    <t>S Shepard</t>
  </si>
  <si>
    <t>M Brown</t>
  </si>
  <si>
    <t>M Williams</t>
  </si>
  <si>
    <t>C Ridley</t>
  </si>
  <si>
    <t>B Edwards</t>
  </si>
  <si>
    <t>J. Dotson</t>
  </si>
  <si>
    <t>R Bateman</t>
  </si>
  <si>
    <t>E Moore</t>
  </si>
  <si>
    <t>J Meyers</t>
  </si>
  <si>
    <t>D Brown</t>
  </si>
  <si>
    <t>M Pittman</t>
  </si>
  <si>
    <t>D Bell</t>
  </si>
  <si>
    <t>OBJ</t>
  </si>
  <si>
    <t>S Moore</t>
  </si>
  <si>
    <t>TE</t>
  </si>
  <si>
    <t>D Goedert</t>
  </si>
  <si>
    <t>D Waller</t>
  </si>
  <si>
    <t>K Pitts</t>
  </si>
  <si>
    <t>G Kittle</t>
  </si>
  <si>
    <t>N Fant</t>
  </si>
  <si>
    <t>T Kelce</t>
  </si>
  <si>
    <t>Z Ertz</t>
  </si>
  <si>
    <t>D Njoku</t>
  </si>
  <si>
    <t>P Friermuth</t>
  </si>
  <si>
    <t>D Knox</t>
  </si>
  <si>
    <t>H Henry</t>
  </si>
  <si>
    <t>L Thomas</t>
  </si>
  <si>
    <t>K</t>
  </si>
  <si>
    <t>D Carlson</t>
  </si>
  <si>
    <t>T Bass</t>
  </si>
  <si>
    <t>E McPherson</t>
  </si>
  <si>
    <t>J. Tucker</t>
  </si>
  <si>
    <t xml:space="preserve"> </t>
  </si>
  <si>
    <t>C Herndon</t>
  </si>
  <si>
    <t>M Gay</t>
  </si>
  <si>
    <t>G Zuerlein</t>
  </si>
  <si>
    <t>D</t>
  </si>
  <si>
    <t>MIA</t>
  </si>
  <si>
    <t>TB</t>
  </si>
  <si>
    <t>IND</t>
  </si>
  <si>
    <t>LAR</t>
  </si>
  <si>
    <t>SF</t>
  </si>
  <si>
    <t>PIT</t>
  </si>
  <si>
    <t>NE</t>
  </si>
  <si>
    <t>WC</t>
  </si>
  <si>
    <t>C Wentz</t>
  </si>
  <si>
    <t>WAS</t>
  </si>
  <si>
    <t>M Gallup</t>
  </si>
  <si>
    <t>D Mims</t>
  </si>
  <si>
    <t>P Campbell</t>
  </si>
  <si>
    <t>M Gaskin</t>
  </si>
  <si>
    <t>Sony Michel</t>
  </si>
  <si>
    <t>C. Hubbard</t>
  </si>
  <si>
    <t>T Atwell</t>
  </si>
  <si>
    <t>J Smith</t>
  </si>
  <si>
    <t>L Shenault</t>
  </si>
  <si>
    <t>Boston Scott</t>
  </si>
  <si>
    <t>P. Lindsay</t>
  </si>
  <si>
    <t>J Cook</t>
  </si>
  <si>
    <t>P Freiermur</t>
  </si>
  <si>
    <t>J Myers</t>
  </si>
  <si>
    <t>Tyson Williams</t>
  </si>
  <si>
    <t>T. Coleman</t>
  </si>
  <si>
    <t>A Trautman</t>
  </si>
  <si>
    <t>T Johnson</t>
  </si>
  <si>
    <t>A Hooper</t>
  </si>
  <si>
    <t>T Jones</t>
  </si>
  <si>
    <t>D Harris</t>
  </si>
  <si>
    <t>K Toney</t>
  </si>
  <si>
    <t>D Williams</t>
  </si>
  <si>
    <t>Z Moss</t>
  </si>
  <si>
    <t>Russel Gage</t>
  </si>
  <si>
    <t>P Mahomes</t>
  </si>
  <si>
    <t>MVS</t>
  </si>
  <si>
    <t>R Mostert</t>
  </si>
  <si>
    <t>J Fields</t>
  </si>
  <si>
    <t>D Parham</t>
  </si>
  <si>
    <t>J Tucker</t>
  </si>
  <si>
    <t>R Succup</t>
  </si>
  <si>
    <t>Subtotal</t>
  </si>
  <si>
    <t>Cap Hit</t>
  </si>
  <si>
    <t>Total</t>
  </si>
  <si>
    <t>To Spend</t>
  </si>
  <si>
    <t>Josh C</t>
  </si>
  <si>
    <t>Justin P</t>
  </si>
  <si>
    <t>Nick F</t>
  </si>
  <si>
    <t>Stephen P</t>
  </si>
  <si>
    <t>Example</t>
  </si>
  <si>
    <t>J Herbert</t>
  </si>
  <si>
    <t>A Rodgers</t>
  </si>
  <si>
    <t>R Wilson</t>
  </si>
  <si>
    <t>K Murray</t>
  </si>
  <si>
    <t>J Burrow</t>
  </si>
  <si>
    <t>T Lawrence</t>
  </si>
  <si>
    <t>J Hurts</t>
  </si>
  <si>
    <t>B Mayfield</t>
  </si>
  <si>
    <t>A Kamara</t>
  </si>
  <si>
    <t>D Montgom.</t>
  </si>
  <si>
    <t>D Cook</t>
  </si>
  <si>
    <t>C McCaffrey</t>
  </si>
  <si>
    <t>J Mixon</t>
  </si>
  <si>
    <t>J Robinson</t>
  </si>
  <si>
    <t>S Barkley</t>
  </si>
  <si>
    <t>E Elliott</t>
  </si>
  <si>
    <t>Jv Williams</t>
  </si>
  <si>
    <t>M Davis</t>
  </si>
  <si>
    <t>M. Carter</t>
  </si>
  <si>
    <t>B Robinson</t>
  </si>
  <si>
    <t>JD McKissic</t>
  </si>
  <si>
    <t>A Mattison</t>
  </si>
  <si>
    <t>A Abdullah</t>
  </si>
  <si>
    <t xml:space="preserve">Jm Williams </t>
  </si>
  <si>
    <t>R Penny</t>
  </si>
  <si>
    <t>M Mack</t>
  </si>
  <si>
    <t>E Mitchell</t>
  </si>
  <si>
    <t>K Hill</t>
  </si>
  <si>
    <t>M Breida</t>
  </si>
  <si>
    <t>Dar Williams</t>
  </si>
  <si>
    <t>S Ahmed</t>
  </si>
  <si>
    <t>C. Patterson</t>
  </si>
  <si>
    <t>M. Gordon</t>
  </si>
  <si>
    <t>J Jefferson</t>
  </si>
  <si>
    <t>D Adams</t>
  </si>
  <si>
    <t>A Thielen</t>
  </si>
  <si>
    <t>A Robinson</t>
  </si>
  <si>
    <t>A Cooper</t>
  </si>
  <si>
    <t>DK Metcalf</t>
  </si>
  <si>
    <t>C Claypool</t>
  </si>
  <si>
    <t>C Kupp</t>
  </si>
  <si>
    <t>J Jones</t>
  </si>
  <si>
    <t>M Evans</t>
  </si>
  <si>
    <t>D London</t>
  </si>
  <si>
    <t>T Higgins</t>
  </si>
  <si>
    <t>T Lockett</t>
  </si>
  <si>
    <t>K Golladay</t>
  </si>
  <si>
    <t>B Cooks</t>
  </si>
  <si>
    <t>T Boyd</t>
  </si>
  <si>
    <t>C Sutton</t>
  </si>
  <si>
    <t>A. Lazard</t>
  </si>
  <si>
    <t>D Parker</t>
  </si>
  <si>
    <t>N Agholor</t>
  </si>
  <si>
    <t>R Moore</t>
  </si>
  <si>
    <t>Renfrow</t>
  </si>
  <si>
    <t>T Marshall</t>
  </si>
  <si>
    <t>C Kirk</t>
  </si>
  <si>
    <t>D. Duvernay</t>
  </si>
  <si>
    <t>T Burks</t>
  </si>
  <si>
    <t>D Slayton</t>
  </si>
  <si>
    <t>V Jefferson</t>
  </si>
  <si>
    <t>A.  St. Brown</t>
  </si>
  <si>
    <t>J Crowder</t>
  </si>
  <si>
    <t>TJ Hockens.</t>
  </si>
  <si>
    <t>T Higbee</t>
  </si>
  <si>
    <t>M Gesicki</t>
  </si>
  <si>
    <t>M Andrews</t>
  </si>
  <si>
    <t>R Tonyan</t>
  </si>
  <si>
    <t>D. Schultz</t>
  </si>
  <si>
    <t>I Smith</t>
  </si>
  <si>
    <t>C Kmet</t>
  </si>
  <si>
    <t>B Jarwin</t>
  </si>
  <si>
    <t>OJ Howard</t>
  </si>
  <si>
    <t>Y Koo</t>
  </si>
  <si>
    <t>H Butker</t>
  </si>
  <si>
    <t>R Blankeship</t>
  </si>
  <si>
    <t>BAL</t>
  </si>
  <si>
    <t>CLE</t>
  </si>
  <si>
    <t>DEN</t>
  </si>
  <si>
    <t>BUF</t>
  </si>
  <si>
    <t>M Carter</t>
  </si>
  <si>
    <t>M Gordon</t>
  </si>
  <si>
    <t>T Sermon</t>
  </si>
  <si>
    <t>M. Trubisky</t>
  </si>
  <si>
    <t>M Hardman</t>
  </si>
  <si>
    <t>R Gould</t>
  </si>
  <si>
    <t>R Jones</t>
  </si>
  <si>
    <t>T Smith</t>
  </si>
  <si>
    <t>Z Wilson</t>
  </si>
  <si>
    <t>J Reagor</t>
  </si>
  <si>
    <t>J Hawkins</t>
  </si>
  <si>
    <t>M Callaway</t>
  </si>
  <si>
    <t>J Kelley</t>
  </si>
  <si>
    <t>KJ Hamler</t>
  </si>
  <si>
    <t>J Sanders</t>
  </si>
  <si>
    <t>L Rountree</t>
  </si>
  <si>
    <t>AJ Green</t>
  </si>
  <si>
    <t>Andrew</t>
  </si>
  <si>
    <t>Stephen</t>
  </si>
  <si>
    <t>Colby</t>
  </si>
  <si>
    <t>Aaron</t>
  </si>
  <si>
    <t>Nick</t>
  </si>
  <si>
    <t>Chris</t>
  </si>
  <si>
    <t>Carter</t>
  </si>
  <si>
    <t>Caleb</t>
  </si>
  <si>
    <t>Justin</t>
  </si>
  <si>
    <t>Dawson</t>
  </si>
  <si>
    <t>$250 League Salary, Variable contracts after 2 years</t>
  </si>
  <si>
    <t>Picker</t>
  </si>
  <si>
    <t>#</t>
  </si>
  <si>
    <t>Winner</t>
  </si>
  <si>
    <t>K. Walker</t>
  </si>
  <si>
    <t>A. St. Brown</t>
  </si>
  <si>
    <t>B Hall</t>
  </si>
  <si>
    <t>D Pierce</t>
  </si>
  <si>
    <t>D Schultz</t>
  </si>
  <si>
    <t>A Lazard</t>
  </si>
  <si>
    <t>I. Spiller</t>
  </si>
  <si>
    <t>H. Renfrow</t>
  </si>
  <si>
    <t>C. Watson</t>
  </si>
  <si>
    <t>K. Pickett</t>
  </si>
  <si>
    <t>Z. Ertz</t>
  </si>
  <si>
    <t>--------------</t>
  </si>
  <si>
    <t>Position</t>
  </si>
  <si>
    <t>Current Salary</t>
  </si>
  <si>
    <t>Year Drafted</t>
  </si>
  <si>
    <t>Contract Status</t>
  </si>
  <si>
    <t>Notes</t>
  </si>
  <si>
    <t>T. Tagovailoa</t>
  </si>
  <si>
    <t>2 of 2 years</t>
  </si>
  <si>
    <t>1 of 2 Years</t>
  </si>
  <si>
    <t>J. Taylor</t>
  </si>
  <si>
    <t>D. Swift</t>
  </si>
  <si>
    <t>C. Akers</t>
  </si>
  <si>
    <t xml:space="preserve">  </t>
  </si>
  <si>
    <t>C. Edmunds</t>
  </si>
  <si>
    <t>T. Etienne</t>
  </si>
  <si>
    <t>Kenneth Gainwell</t>
  </si>
  <si>
    <t>1 of 2 years</t>
  </si>
  <si>
    <t>M. Pittman</t>
  </si>
  <si>
    <t>D. Smith</t>
  </si>
  <si>
    <t>Juju</t>
  </si>
  <si>
    <t>E. Moore</t>
  </si>
  <si>
    <t>Calvin Ridley</t>
  </si>
  <si>
    <t>Jameson Williams</t>
  </si>
  <si>
    <t>D. Goddert</t>
  </si>
  <si>
    <t>Miami Dolphins</t>
  </si>
  <si>
    <t>Cut Players</t>
  </si>
  <si>
    <t>C. Wentz</t>
  </si>
  <si>
    <t>M. Gaskin</t>
  </si>
  <si>
    <t>L. Shenault</t>
  </si>
  <si>
    <t>J. Meyers</t>
  </si>
  <si>
    <t>A. Hooper</t>
  </si>
  <si>
    <t>Z. Moss</t>
  </si>
  <si>
    <t>TOTAL SALARY</t>
  </si>
  <si>
    <t>Salary Available</t>
  </si>
  <si>
    <t>Salary</t>
  </si>
  <si>
    <t>Status of Contract</t>
  </si>
  <si>
    <t>R. Tannehill</t>
  </si>
  <si>
    <t>T. Lance</t>
  </si>
  <si>
    <t>N. Harris</t>
  </si>
  <si>
    <t>A. Gibson</t>
  </si>
  <si>
    <t>T. Pollard</t>
  </si>
  <si>
    <t>Kenneth Walker</t>
  </si>
  <si>
    <t>S. Diggs</t>
  </si>
  <si>
    <t>Aiyuk</t>
  </si>
  <si>
    <t>M. Thomas</t>
  </si>
  <si>
    <t>D. Mooney</t>
  </si>
  <si>
    <t>C. Olave</t>
  </si>
  <si>
    <t>B. Edwards</t>
  </si>
  <si>
    <t>Garrett Wilson</t>
  </si>
  <si>
    <t>D. Waller</t>
  </si>
  <si>
    <t>David Nijoku</t>
  </si>
  <si>
    <t>D. Carlson</t>
  </si>
  <si>
    <t>DEF</t>
  </si>
  <si>
    <t>Washington DEF</t>
  </si>
  <si>
    <t>T. Jones</t>
  </si>
  <si>
    <t>Russell Gage</t>
  </si>
  <si>
    <t>D. Parham</t>
  </si>
  <si>
    <t>L. Jackson</t>
  </si>
  <si>
    <t>T. Brady</t>
  </si>
  <si>
    <t>D. Watson</t>
  </si>
  <si>
    <t>Breece Hall</t>
  </si>
  <si>
    <t>D. Singletary</t>
  </si>
  <si>
    <t>K. Drake</t>
  </si>
  <si>
    <t>R. Stevensen</t>
  </si>
  <si>
    <t>T. Hill</t>
  </si>
  <si>
    <t>C. Godwin</t>
  </si>
  <si>
    <t>R. Woods</t>
  </si>
  <si>
    <t>J. Landry</t>
  </si>
  <si>
    <t>W. Fuller</t>
  </si>
  <si>
    <t>K. Pitts</t>
  </si>
  <si>
    <t>Tampa Bay</t>
  </si>
  <si>
    <t>Pit</t>
  </si>
  <si>
    <t>M. Gallup</t>
  </si>
  <si>
    <t>Chubba Hubbard</t>
  </si>
  <si>
    <t>D. Harris</t>
  </si>
  <si>
    <t>Pat Mahomes</t>
  </si>
  <si>
    <t>C. Herndon</t>
  </si>
  <si>
    <t>D. Prescott</t>
  </si>
  <si>
    <t>M. Stafford</t>
  </si>
  <si>
    <t>J. Jacobs</t>
  </si>
  <si>
    <t>A. Eckler</t>
  </si>
  <si>
    <t>J. Connor</t>
  </si>
  <si>
    <t>N. Hines</t>
  </si>
  <si>
    <t>J. White</t>
  </si>
  <si>
    <t>Rachaad White</t>
  </si>
  <si>
    <t>C. Lamb</t>
  </si>
  <si>
    <t>K. Allen</t>
  </si>
  <si>
    <t>C. Davis</t>
  </si>
  <si>
    <t>S. Shepard</t>
  </si>
  <si>
    <t>R. Bateman</t>
  </si>
  <si>
    <t>George Pickens</t>
  </si>
  <si>
    <t>Romeo Doubs</t>
  </si>
  <si>
    <t>G. Kittle</t>
  </si>
  <si>
    <t>L. Thomas</t>
  </si>
  <si>
    <t>Pat Friermuth</t>
  </si>
  <si>
    <t>T. Bass</t>
  </si>
  <si>
    <t>M. Gay</t>
  </si>
  <si>
    <t>C. Ridley</t>
  </si>
  <si>
    <t>M. Jones</t>
  </si>
  <si>
    <t>K. Cousins</t>
  </si>
  <si>
    <t>N. Chubb</t>
  </si>
  <si>
    <t>CEH</t>
  </si>
  <si>
    <t>M. Sanders</t>
  </si>
  <si>
    <t>D. Henderson</t>
  </si>
  <si>
    <t>L. Fournette</t>
  </si>
  <si>
    <t>Zamir White</t>
  </si>
  <si>
    <t>K. Herbert</t>
  </si>
  <si>
    <t>T. McLaurin</t>
  </si>
  <si>
    <t>D. Johnson</t>
  </si>
  <si>
    <t>J. Jeudy</t>
  </si>
  <si>
    <t>M. Brown</t>
  </si>
  <si>
    <t>D. Brown</t>
  </si>
  <si>
    <t>Skyy Moore</t>
  </si>
  <si>
    <t>David Bell</t>
  </si>
  <si>
    <t>N. Fant</t>
  </si>
  <si>
    <t>D. Know</t>
  </si>
  <si>
    <t>G. Zurlein</t>
  </si>
  <si>
    <t>Evan McPherson</t>
  </si>
  <si>
    <t>D. Mims</t>
  </si>
  <si>
    <t>J. Allen</t>
  </si>
  <si>
    <t>Derek Carr</t>
  </si>
  <si>
    <t>D. Henry</t>
  </si>
  <si>
    <t>A. Jones</t>
  </si>
  <si>
    <t>K. Hunt</t>
  </si>
  <si>
    <t>Tyler Algeier</t>
  </si>
  <si>
    <t>J. Chase</t>
  </si>
  <si>
    <t>D. Samuel</t>
  </si>
  <si>
    <t>R. Anderson</t>
  </si>
  <si>
    <t>M. Williams</t>
  </si>
  <si>
    <t>Gabe Davis</t>
  </si>
  <si>
    <t>T. Kelce</t>
  </si>
  <si>
    <t>Hunter Henry</t>
  </si>
  <si>
    <t>Pat Freiermur</t>
  </si>
  <si>
    <t>R. Succup</t>
  </si>
  <si>
    <t>J. Herbert</t>
  </si>
  <si>
    <t>J. Burrow</t>
  </si>
  <si>
    <t>Kamara</t>
  </si>
  <si>
    <t>J. Mixon</t>
  </si>
  <si>
    <t>J. Williams</t>
  </si>
  <si>
    <t>B. Robinson</t>
  </si>
  <si>
    <t>Jm. Williams</t>
  </si>
  <si>
    <t>E. Mitchell</t>
  </si>
  <si>
    <t>S. Ahmed</t>
  </si>
  <si>
    <t>J. Jefferson</t>
  </si>
  <si>
    <t>A. Cooper</t>
  </si>
  <si>
    <t>J. Jones</t>
  </si>
  <si>
    <t>T. Boyd</t>
  </si>
  <si>
    <t>N. Agholor</t>
  </si>
  <si>
    <t>C. Kirk</t>
  </si>
  <si>
    <t>D. Slayton</t>
  </si>
  <si>
    <t>TJ Hock</t>
  </si>
  <si>
    <t>R. Tonyan</t>
  </si>
  <si>
    <t>C. Kmet</t>
  </si>
  <si>
    <t>Y. Koo</t>
  </si>
  <si>
    <t>M. Hardman</t>
  </si>
  <si>
    <t>T. Lawrence</t>
  </si>
  <si>
    <t>A. Rodgers</t>
  </si>
  <si>
    <t>D. Montgomery</t>
  </si>
  <si>
    <t>J. Robinson</t>
  </si>
  <si>
    <t>M. Davis</t>
  </si>
  <si>
    <t>JD McKissnic</t>
  </si>
  <si>
    <t>R. Penny</t>
  </si>
  <si>
    <t>K. Hill</t>
  </si>
  <si>
    <t>D. Adams</t>
  </si>
  <si>
    <t>M. Evans</t>
  </si>
  <si>
    <t>T. Lockett</t>
  </si>
  <si>
    <t>C. Sutton</t>
  </si>
  <si>
    <t>R. Moore</t>
  </si>
  <si>
    <t>V. Jefferson</t>
  </si>
  <si>
    <t>T. Higbee</t>
  </si>
  <si>
    <t>D. Shultz</t>
  </si>
  <si>
    <t>B. Jarwin</t>
  </si>
  <si>
    <t>H. Butker</t>
  </si>
  <si>
    <t>R. Blankenship</t>
  </si>
  <si>
    <t>R. Willson</t>
  </si>
  <si>
    <t>J. Hurts</t>
  </si>
  <si>
    <t>B. Mayfield</t>
  </si>
  <si>
    <t>D. Cook</t>
  </si>
  <si>
    <t>S. Barkley</t>
  </si>
  <si>
    <t>A. Mattison</t>
  </si>
  <si>
    <t>Matt Breida</t>
  </si>
  <si>
    <t>Marlon Mack</t>
  </si>
  <si>
    <t>C. Claypool</t>
  </si>
  <si>
    <t>A. Thielen</t>
  </si>
  <si>
    <t>D. London</t>
  </si>
  <si>
    <t>K. Golladay</t>
  </si>
  <si>
    <t>J. Crowder</t>
  </si>
  <si>
    <t>M. Gesicki</t>
  </si>
  <si>
    <t>R. Gould</t>
  </si>
  <si>
    <t>T. Smith</t>
  </si>
  <si>
    <t>M. Callaway</t>
  </si>
  <si>
    <t>K. Murray</t>
  </si>
  <si>
    <t>C. McCaffery</t>
  </si>
  <si>
    <t>Zeke</t>
  </si>
  <si>
    <t>Dar. Williams</t>
  </si>
  <si>
    <t>Amir Abdullah</t>
  </si>
  <si>
    <t>C. Kupp</t>
  </si>
  <si>
    <t>A. Robinson</t>
  </si>
  <si>
    <t>T. Higgins</t>
  </si>
  <si>
    <t>B. Cooks</t>
  </si>
  <si>
    <t>D. Parker</t>
  </si>
  <si>
    <t>T. Marshall</t>
  </si>
  <si>
    <t>T. Burks</t>
  </si>
  <si>
    <t>Amon Ra St. Brown</t>
  </si>
  <si>
    <t>Denzel Mims</t>
  </si>
  <si>
    <t>M. Andrews</t>
  </si>
  <si>
    <t>Austin Hooper</t>
  </si>
  <si>
    <t>R. Jones</t>
  </si>
  <si>
    <t>Z. Wilson</t>
  </si>
  <si>
    <t>J. Kelley</t>
  </si>
  <si>
    <t>Zach Ertz</t>
  </si>
  <si>
    <t>L. Rountree</t>
  </si>
  <si>
    <t>R. Wilson</t>
  </si>
  <si>
    <t>Dolphins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</si>
</sst>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Calibri"/>
      <scheme val="minor"/>
    </font>
    <font>
      <sz val="10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sz val="10.0"/>
      <color rgb="FF7F7F7F"/>
      <name val="Arial"/>
    </font>
    <font>
      <sz val="10.0"/>
      <color rgb="FF4600A5"/>
      <name val="Arial"/>
    </font>
    <font>
      <b/>
      <sz val="10.0"/>
      <color rgb="FF4600A5"/>
      <name val="Arial"/>
    </font>
    <font>
      <b/>
      <color rgb="FF4600A5"/>
      <name val="Arial"/>
    </font>
    <font>
      <b/>
      <sz val="10.0"/>
      <color rgb="FF7030A0"/>
      <name val="Arial"/>
    </font>
    <font>
      <sz val="10.0"/>
      <color rgb="FFDD0806"/>
      <name val="Arial"/>
    </font>
    <font>
      <b/>
      <sz val="10.0"/>
      <color rgb="FFDD0806"/>
      <name val="Arial"/>
    </font>
    <font>
      <sz val="10.0"/>
      <color rgb="FF000090"/>
      <name val="Arial"/>
    </font>
    <font>
      <b/>
      <sz val="10.0"/>
      <color rgb="FF000090"/>
      <name val="Arial"/>
    </font>
    <font>
      <b/>
      <sz val="10.0"/>
      <color rgb="FF333399"/>
      <name val="Arial"/>
    </font>
    <font>
      <sz val="10.0"/>
      <color rgb="FF006411"/>
      <name val="Arial"/>
    </font>
    <font>
      <b/>
      <sz val="10.0"/>
      <color rgb="FF006411"/>
      <name val="Arial"/>
    </font>
    <font>
      <color theme="1"/>
      <name val="Arial"/>
    </font>
    <font>
      <sz val="10.0"/>
      <color rgb="FFFF6600"/>
      <name val="Arial"/>
    </font>
    <font>
      <b/>
      <sz val="10.0"/>
      <color rgb="FFFF6600"/>
      <name val="Arial"/>
    </font>
    <font>
      <sz val="10.0"/>
      <color rgb="FF33CCCC"/>
      <name val="Arial"/>
    </font>
    <font>
      <b/>
      <sz val="10.0"/>
      <color rgb="FF33CCCC"/>
      <name val="Arial"/>
    </font>
    <font>
      <b/>
      <color theme="1"/>
      <name val="Arial"/>
    </font>
    <font>
      <b/>
      <sz val="10.0"/>
      <color rgb="FF5F497A"/>
      <name val="Arial"/>
    </font>
    <font>
      <b/>
      <sz val="10.0"/>
      <color rgb="FFCC0000"/>
      <name val="Arial"/>
    </font>
    <font>
      <b/>
      <sz val="10.0"/>
      <color rgb="FF90713A"/>
      <name val="Arial"/>
    </font>
    <font>
      <b/>
      <color rgb="FF000090"/>
      <name val="Arial"/>
    </font>
    <font>
      <sz val="10.0"/>
      <color rgb="FF90713A"/>
      <name val="Arial"/>
    </font>
    <font>
      <color rgb="FF000000"/>
      <name val="Arial"/>
    </font>
    <font>
      <b/>
      <color rgb="FFFCF305"/>
      <name val="Arial"/>
    </font>
    <font>
      <b/>
      <sz val="10.0"/>
      <color rgb="FFFCF305"/>
      <name val="Arial"/>
    </font>
    <font>
      <b/>
      <color rgb="FFDD0806"/>
      <name val="Arial"/>
    </font>
    <font>
      <color theme="1"/>
      <name val="Calibri"/>
    </font>
    <font>
      <b/>
      <color rgb="FF333399"/>
      <name val="Arial"/>
    </font>
    <font>
      <b/>
      <color rgb="FF006411"/>
      <name val="Arial"/>
    </font>
    <font>
      <b/>
      <color rgb="FFFF6600"/>
      <name val="Arial"/>
    </font>
    <font>
      <b/>
      <color rgb="FF33CCCC"/>
      <name val="Arial"/>
    </font>
    <font>
      <color rgb="FF000000"/>
      <name val="Calibri"/>
    </font>
    <font>
      <color rgb="FFDD0806"/>
      <name val="Arial"/>
    </font>
    <font>
      <b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CF305"/>
        <bgColor rgb="FFFCF305"/>
      </patternFill>
    </fill>
    <fill>
      <patternFill patternType="solid">
        <fgColor rgb="FFEFEFEF"/>
        <bgColor rgb="FFEFEFEF"/>
      </patternFill>
    </fill>
    <fill>
      <patternFill patternType="solid">
        <fgColor rgb="FF900000"/>
        <bgColor rgb="FF900000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1" fillId="0" fontId="1" numFmtId="1" xfId="0" applyAlignment="1" applyBorder="1" applyFont="1" applyNumberFormat="1">
      <alignment horizontal="center" vertical="center"/>
    </xf>
    <xf borderId="1" fillId="2" fontId="3" numFmtId="1" xfId="0" applyAlignment="1" applyBorder="1" applyFill="1" applyFont="1" applyNumberFormat="1">
      <alignment horizontal="right" vertical="center"/>
    </xf>
    <xf borderId="1" fillId="0" fontId="1" numFmtId="1" xfId="0" applyAlignment="1" applyBorder="1" applyFont="1" applyNumberFormat="1">
      <alignment horizontal="right" vertical="center"/>
    </xf>
    <xf borderId="1" fillId="3" fontId="4" numFmtId="1" xfId="0" applyAlignment="1" applyBorder="1" applyFill="1" applyFont="1" applyNumberFormat="1">
      <alignment horizontal="center" vertical="center"/>
    </xf>
    <xf borderId="1" fillId="3" fontId="4" numFmtId="1" xfId="0" applyAlignment="1" applyBorder="1" applyFont="1" applyNumberFormat="1">
      <alignment horizontal="right" vertical="center"/>
    </xf>
    <xf borderId="0" fillId="0" fontId="1" numFmtId="0" xfId="0" applyAlignment="1" applyFont="1">
      <alignment readingOrder="0" vertical="center"/>
    </xf>
    <xf borderId="1" fillId="4" fontId="5" numFmtId="1" xfId="0" applyAlignment="1" applyBorder="1" applyFill="1" applyFont="1" applyNumberFormat="1">
      <alignment horizontal="center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1" xfId="0" applyAlignment="1" applyBorder="1" applyFont="1" applyNumberFormat="1">
      <alignment horizontal="center" vertical="center"/>
    </xf>
    <xf borderId="1" fillId="5" fontId="6" numFmtId="1" xfId="0" applyAlignment="1" applyBorder="1" applyFill="1" applyFont="1" applyNumberFormat="1">
      <alignment horizontal="right" readingOrder="0" vertical="center"/>
    </xf>
    <xf borderId="1" fillId="5" fontId="6" numFmtId="1" xfId="0" applyAlignment="1" applyBorder="1" applyFont="1" applyNumberFormat="1">
      <alignment horizontal="center" readingOrder="0" vertical="center"/>
    </xf>
    <xf borderId="1" fillId="6" fontId="7" numFmtId="1" xfId="0" applyAlignment="1" applyBorder="1" applyFill="1" applyFont="1" applyNumberFormat="1">
      <alignment horizontal="right"/>
    </xf>
    <xf borderId="2" fillId="6" fontId="7" numFmtId="1" xfId="0" applyAlignment="1" applyBorder="1" applyFont="1" applyNumberFormat="1">
      <alignment horizontal="center"/>
    </xf>
    <xf borderId="3" fillId="4" fontId="8" numFmtId="1" xfId="0" applyAlignment="1" applyBorder="1" applyFont="1" applyNumberFormat="1">
      <alignment horizontal="right" vertical="center"/>
    </xf>
    <xf borderId="3" fillId="4" fontId="6" numFmtId="1" xfId="0" applyAlignment="1" applyBorder="1" applyFont="1" applyNumberFormat="1">
      <alignment horizontal="center" vertical="center"/>
    </xf>
    <xf borderId="3" fillId="6" fontId="6" numFmtId="1" xfId="0" applyAlignment="1" applyBorder="1" applyFont="1" applyNumberFormat="1">
      <alignment horizontal="right" readingOrder="0" vertical="center"/>
    </xf>
    <xf borderId="3" fillId="6" fontId="6" numFmtId="1" xfId="0" applyAlignment="1" applyBorder="1" applyFont="1" applyNumberFormat="1">
      <alignment horizontal="center" readingOrder="0" vertical="center"/>
    </xf>
    <xf borderId="4" fillId="4" fontId="6" numFmtId="1" xfId="0" applyAlignment="1" applyBorder="1" applyFont="1" applyNumberFormat="1">
      <alignment horizontal="center" vertical="center"/>
    </xf>
    <xf borderId="5" fillId="4" fontId="8" numFmtId="0" xfId="0" applyAlignment="1" applyBorder="1" applyFont="1">
      <alignment horizontal="right" vertical="center"/>
    </xf>
    <xf borderId="5" fillId="4" fontId="8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vertical="center"/>
    </xf>
    <xf borderId="2" fillId="4" fontId="5" numFmtId="1" xfId="0" applyAlignment="1" applyBorder="1" applyFont="1" applyNumberFormat="1">
      <alignment horizontal="center" vertical="center"/>
    </xf>
    <xf borderId="0" fillId="4" fontId="8" numFmtId="0" xfId="0" applyAlignment="1" applyFont="1">
      <alignment horizontal="right" vertical="center"/>
    </xf>
    <xf borderId="0" fillId="4" fontId="8" numFmtId="0" xfId="0" applyAlignment="1" applyFont="1">
      <alignment horizontal="center" vertical="center"/>
    </xf>
    <xf borderId="0" fillId="7" fontId="1" numFmtId="0" xfId="0" applyAlignment="1" applyFont="1">
      <alignment vertical="center"/>
    </xf>
    <xf borderId="1" fillId="0" fontId="9" numFmtId="1" xfId="0" applyAlignment="1" applyBorder="1" applyFont="1" applyNumberFormat="1">
      <alignment horizontal="center" vertical="center"/>
    </xf>
    <xf borderId="1" fillId="0" fontId="10" numFmtId="1" xfId="0" applyAlignment="1" applyBorder="1" applyFont="1" applyNumberFormat="1">
      <alignment horizontal="right" vertical="center"/>
    </xf>
    <xf borderId="1" fillId="0" fontId="10" numFmtId="1" xfId="0" applyAlignment="1" applyBorder="1" applyFont="1" applyNumberFormat="1">
      <alignment horizontal="center" vertical="center"/>
    </xf>
    <xf borderId="6" fillId="0" fontId="10" numFmtId="1" xfId="0" applyAlignment="1" applyBorder="1" applyFont="1" applyNumberFormat="1">
      <alignment horizontal="right" vertical="center"/>
    </xf>
    <xf borderId="6" fillId="0" fontId="10" numFmtId="1" xfId="0" applyAlignment="1" applyBorder="1" applyFont="1" applyNumberFormat="1">
      <alignment horizontal="center" vertical="center"/>
    </xf>
    <xf borderId="1" fillId="6" fontId="10" numFmtId="1" xfId="0" applyAlignment="1" applyBorder="1" applyFont="1" applyNumberFormat="1">
      <alignment horizontal="right" readingOrder="0" vertical="center"/>
    </xf>
    <xf borderId="1" fillId="6" fontId="10" numFmtId="1" xfId="0" applyAlignment="1" applyBorder="1" applyFont="1" applyNumberFormat="1">
      <alignment horizontal="center" readingOrder="0" vertical="center"/>
    </xf>
    <xf borderId="1" fillId="4" fontId="11" numFmtId="1" xfId="0" applyAlignment="1" applyBorder="1" applyFont="1" applyNumberFormat="1">
      <alignment horizontal="center" vertical="center"/>
    </xf>
    <xf borderId="1" fillId="4" fontId="12" numFmtId="1" xfId="0" applyAlignment="1" applyBorder="1" applyFont="1" applyNumberFormat="1">
      <alignment horizontal="right" vertical="center"/>
    </xf>
    <xf borderId="1" fillId="4" fontId="12" numFmtId="1" xfId="0" applyAlignment="1" applyBorder="1" applyFont="1" applyNumberFormat="1">
      <alignment horizontal="center" vertical="center"/>
    </xf>
    <xf borderId="1" fillId="4" fontId="13" numFmtId="1" xfId="0" applyAlignment="1" applyBorder="1" applyFont="1" applyNumberFormat="1">
      <alignment horizontal="right" vertical="center"/>
    </xf>
    <xf borderId="1" fillId="4" fontId="13" numFmtId="1" xfId="0" applyAlignment="1" applyBorder="1" applyFont="1" applyNumberFormat="1">
      <alignment horizontal="center" vertical="center"/>
    </xf>
    <xf borderId="1" fillId="6" fontId="12" numFmtId="1" xfId="0" applyAlignment="1" applyBorder="1" applyFont="1" applyNumberFormat="1">
      <alignment horizontal="right" readingOrder="0" vertical="center"/>
    </xf>
    <xf borderId="1" fillId="6" fontId="12" numFmtId="1" xfId="0" applyAlignment="1" applyBorder="1" applyFont="1" applyNumberFormat="1">
      <alignment horizontal="center" readingOrder="0" vertical="center"/>
    </xf>
    <xf borderId="1" fillId="4" fontId="12" numFmtId="1" xfId="0" applyAlignment="1" applyBorder="1" applyFont="1" applyNumberFormat="1">
      <alignment horizontal="center" readingOrder="0" vertical="center"/>
    </xf>
    <xf borderId="1" fillId="0" fontId="14" numFmtId="1" xfId="0" applyAlignment="1" applyBorder="1" applyFont="1" applyNumberFormat="1">
      <alignment horizontal="center" vertical="center"/>
    </xf>
    <xf borderId="1" fillId="0" fontId="15" numFmtId="1" xfId="0" applyAlignment="1" applyBorder="1" applyFont="1" applyNumberFormat="1">
      <alignment horizontal="right" vertical="center"/>
    </xf>
    <xf borderId="1" fillId="0" fontId="15" numFmtId="1" xfId="0" applyAlignment="1" applyBorder="1" applyFont="1" applyNumberFormat="1">
      <alignment horizontal="center" vertical="center"/>
    </xf>
    <xf borderId="1" fillId="6" fontId="15" numFmtId="1" xfId="0" applyAlignment="1" applyBorder="1" applyFont="1" applyNumberFormat="1">
      <alignment horizontal="right" readingOrder="0" vertical="center"/>
    </xf>
    <xf borderId="1" fillId="6" fontId="15" numFmtId="1" xfId="0" applyAlignment="1" applyBorder="1" applyFont="1" applyNumberFormat="1">
      <alignment horizontal="center" readingOrder="0" vertical="center"/>
    </xf>
    <xf borderId="0" fillId="0" fontId="16" numFmtId="0" xfId="0" applyFont="1"/>
    <xf borderId="1" fillId="4" fontId="17" numFmtId="1" xfId="0" applyAlignment="1" applyBorder="1" applyFont="1" applyNumberFormat="1">
      <alignment horizontal="center" vertical="center"/>
    </xf>
    <xf borderId="1" fillId="4" fontId="18" numFmtId="1" xfId="0" applyAlignment="1" applyBorder="1" applyFont="1" applyNumberFormat="1">
      <alignment horizontal="right" vertical="center"/>
    </xf>
    <xf borderId="1" fillId="4" fontId="18" numFmtId="1" xfId="0" applyAlignment="1" applyBorder="1" applyFont="1" applyNumberFormat="1">
      <alignment horizontal="center" vertical="center"/>
    </xf>
    <xf borderId="1" fillId="6" fontId="18" numFmtId="1" xfId="0" applyAlignment="1" applyBorder="1" applyFont="1" applyNumberFormat="1">
      <alignment horizontal="right" readingOrder="0" vertical="center"/>
    </xf>
    <xf borderId="1" fillId="6" fontId="18" numFmtId="1" xfId="0" applyAlignment="1" applyBorder="1" applyFont="1" applyNumberFormat="1">
      <alignment horizontal="center" readingOrder="0" vertical="center"/>
    </xf>
    <xf borderId="1" fillId="0" fontId="19" numFmtId="1" xfId="0" applyAlignment="1" applyBorder="1" applyFont="1" applyNumberFormat="1">
      <alignment horizontal="center" vertical="center"/>
    </xf>
    <xf borderId="1" fillId="0" fontId="20" numFmtId="1" xfId="0" applyAlignment="1" applyBorder="1" applyFont="1" applyNumberFormat="1">
      <alignment horizontal="right" vertical="center"/>
    </xf>
    <xf borderId="1" fillId="0" fontId="20" numFmtId="1" xfId="0" applyAlignment="1" applyBorder="1" applyFont="1" applyNumberFormat="1">
      <alignment horizontal="center" vertical="center"/>
    </xf>
    <xf borderId="1" fillId="4" fontId="1" numFmtId="1" xfId="0" applyAlignment="1" applyBorder="1" applyFont="1" applyNumberFormat="1">
      <alignment horizontal="center" vertical="center"/>
    </xf>
    <xf borderId="1" fillId="4" fontId="3" numFmtId="1" xfId="0" applyAlignment="1" applyBorder="1" applyFont="1" applyNumberFormat="1">
      <alignment horizontal="right" vertical="center"/>
    </xf>
    <xf borderId="1" fillId="4" fontId="3" numFmtId="1" xfId="0" applyAlignment="1" applyBorder="1" applyFont="1" applyNumberFormat="1">
      <alignment horizontal="center" vertical="center"/>
    </xf>
    <xf borderId="1" fillId="4" fontId="3" numFmtId="1" xfId="0" applyAlignment="1" applyBorder="1" applyFont="1" applyNumberFormat="1">
      <alignment horizontal="right" readingOrder="0" vertical="center"/>
    </xf>
    <xf borderId="1" fillId="4" fontId="3" numFmtId="1" xfId="0" applyAlignment="1" applyBorder="1" applyFont="1" applyNumberFormat="1">
      <alignment horizontal="center" readingOrder="0" vertical="center"/>
    </xf>
    <xf borderId="1" fillId="4" fontId="21" numFmtId="1" xfId="0" applyAlignment="1" applyBorder="1" applyFont="1" applyNumberFormat="1">
      <alignment horizontal="right"/>
    </xf>
    <xf borderId="2" fillId="4" fontId="21" numFmtId="1" xfId="0" applyAlignment="1" applyBorder="1" applyFont="1" applyNumberFormat="1">
      <alignment horizontal="center" readingOrder="0"/>
    </xf>
    <xf borderId="0" fillId="4" fontId="3" numFmtId="1" xfId="0" applyAlignment="1" applyFont="1" applyNumberFormat="1">
      <alignment horizontal="right" readingOrder="0" vertical="center"/>
    </xf>
    <xf borderId="0" fillId="4" fontId="3" numFmtId="1" xfId="0" applyAlignment="1" applyFont="1" applyNumberFormat="1">
      <alignment horizontal="center" readingOrder="0" vertical="center"/>
    </xf>
    <xf borderId="0" fillId="4" fontId="21" numFmtId="1" xfId="0" applyAlignment="1" applyFont="1" applyNumberFormat="1">
      <alignment horizontal="right" readingOrder="0"/>
    </xf>
    <xf borderId="0" fillId="4" fontId="21" numFmtId="1" xfId="0" applyAlignment="1" applyFont="1" applyNumberFormat="1">
      <alignment horizontal="center" readingOrder="0"/>
    </xf>
    <xf borderId="0" fillId="4" fontId="1" numFmtId="1" xfId="0" applyAlignment="1" applyFont="1" applyNumberFormat="1">
      <alignment horizontal="center" readingOrder="0" vertical="center"/>
    </xf>
    <xf borderId="0" fillId="4" fontId="3" numFmtId="1" xfId="0" applyAlignment="1" applyFont="1" applyNumberFormat="1">
      <alignment horizontal="right" vertical="center"/>
    </xf>
    <xf borderId="0" fillId="4" fontId="3" numFmtId="1" xfId="0" applyAlignment="1" applyFont="1" applyNumberFormat="1">
      <alignment horizontal="center" vertical="center"/>
    </xf>
    <xf borderId="0" fillId="4" fontId="10" numFmtId="1" xfId="0" applyAlignment="1" applyFont="1" applyNumberFormat="1">
      <alignment horizontal="right" vertical="center"/>
    </xf>
    <xf borderId="0" fillId="4" fontId="10" numFmtId="1" xfId="0" applyAlignment="1" applyFont="1" applyNumberFormat="1">
      <alignment horizontal="center" readingOrder="0" vertical="center"/>
    </xf>
    <xf borderId="0" fillId="0" fontId="4" numFmtId="1" xfId="0" applyAlignment="1" applyFont="1" applyNumberFormat="1">
      <alignment horizontal="right" vertical="center"/>
    </xf>
    <xf borderId="0" fillId="0" fontId="4" numFmtId="1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right" vertical="center"/>
    </xf>
    <xf borderId="0" fillId="0" fontId="1" numFmtId="1" xfId="0" applyAlignment="1" applyFont="1" applyNumberFormat="1">
      <alignment horizontal="center" vertical="center"/>
    </xf>
    <xf borderId="1" fillId="0" fontId="3" numFmtId="1" xfId="0" applyAlignment="1" applyBorder="1" applyFont="1" applyNumberFormat="1">
      <alignment horizontal="right" vertical="center"/>
    </xf>
    <xf borderId="1" fillId="4" fontId="22" numFmtId="1" xfId="0" applyAlignment="1" applyBorder="1" applyFont="1" applyNumberFormat="1">
      <alignment horizontal="right" vertical="center"/>
    </xf>
    <xf borderId="1" fillId="4" fontId="22" numFmtId="1" xfId="0" applyAlignment="1" applyBorder="1" applyFont="1" applyNumberFormat="1">
      <alignment horizontal="center" vertical="center"/>
    </xf>
    <xf borderId="0" fillId="6" fontId="23" numFmtId="0" xfId="0" applyAlignment="1" applyFont="1">
      <alignment horizontal="center" readingOrder="0" vertical="center"/>
    </xf>
    <xf borderId="1" fillId="6" fontId="10" numFmtId="1" xfId="0" applyAlignment="1" applyBorder="1" applyFont="1" applyNumberFormat="1">
      <alignment horizontal="center" vertical="center"/>
    </xf>
    <xf borderId="0" fillId="6" fontId="1" numFmtId="0" xfId="0" applyAlignment="1" applyFont="1">
      <alignment readingOrder="0" vertical="center"/>
    </xf>
    <xf borderId="1" fillId="6" fontId="12" numFmtId="1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4" fontId="24" numFmtId="1" xfId="0" applyAlignment="1" applyBorder="1" applyFont="1" applyNumberFormat="1">
      <alignment horizontal="right" vertical="center"/>
    </xf>
    <xf borderId="1" fillId="4" fontId="24" numFmtId="1" xfId="0" applyAlignment="1" applyBorder="1" applyFont="1" applyNumberFormat="1">
      <alignment horizontal="center" vertical="center"/>
    </xf>
    <xf borderId="0" fillId="4" fontId="25" numFmtId="1" xfId="0" applyAlignment="1" applyFont="1" applyNumberFormat="1">
      <alignment horizontal="right" readingOrder="0"/>
    </xf>
    <xf borderId="0" fillId="4" fontId="24" numFmtId="1" xfId="0" applyAlignment="1" applyFont="1" applyNumberFormat="1">
      <alignment horizontal="right" vertical="center"/>
    </xf>
    <xf borderId="0" fillId="4" fontId="24" numFmtId="1" xfId="0" applyAlignment="1" applyFont="1" applyNumberFormat="1">
      <alignment horizontal="center" vertical="center"/>
    </xf>
    <xf borderId="0" fillId="4" fontId="1" numFmtId="1" xfId="0" applyAlignment="1" applyFont="1" applyNumberFormat="1">
      <alignment horizontal="center" vertical="center"/>
    </xf>
    <xf borderId="0" fillId="0" fontId="26" numFmtId="1" xfId="0" applyAlignment="1" applyFont="1" applyNumberFormat="1">
      <alignment horizontal="right" vertical="center"/>
    </xf>
    <xf borderId="0" fillId="0" fontId="26" numFmtId="1" xfId="0" applyAlignment="1" applyFont="1" applyNumberForma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 vertical="center"/>
    </xf>
    <xf borderId="0" fillId="7" fontId="16" numFmtId="0" xfId="0" applyFont="1"/>
    <xf borderId="0" fillId="7" fontId="16" numFmtId="0" xfId="0" applyAlignment="1" applyFont="1">
      <alignment horizontal="right"/>
    </xf>
    <xf borderId="0" fillId="7" fontId="1" numFmtId="0" xfId="0" applyAlignment="1" applyFont="1">
      <alignment readingOrder="0"/>
    </xf>
    <xf borderId="0" fillId="7" fontId="1" numFmtId="0" xfId="0" applyAlignment="1" applyFont="1">
      <alignment horizontal="right"/>
    </xf>
    <xf borderId="0" fillId="7" fontId="1" numFmtId="0" xfId="0" applyAlignment="1" applyFont="1">
      <alignment readingOrder="0" vertical="center"/>
    </xf>
    <xf borderId="0" fillId="7" fontId="1" numFmtId="0" xfId="0" applyFont="1"/>
    <xf borderId="0" fillId="7" fontId="1" numFmtId="0" xfId="0" applyFont="1"/>
    <xf borderId="0" fillId="7" fontId="1" numFmtId="0" xfId="0" applyAlignment="1" applyFont="1">
      <alignment horizontal="right"/>
    </xf>
    <xf borderId="0" fillId="7" fontId="16" numFmtId="0" xfId="0" applyAlignment="1" applyFont="1">
      <alignment horizontal="right"/>
    </xf>
    <xf borderId="0" fillId="7" fontId="16" numFmtId="0" xfId="0" applyFont="1"/>
    <xf borderId="0" fillId="7" fontId="16" numFmtId="0" xfId="0" applyAlignment="1" applyFont="1">
      <alignment readingOrder="0"/>
    </xf>
    <xf borderId="0" fillId="0" fontId="16" numFmtId="0" xfId="0" applyFont="1"/>
    <xf borderId="0" fillId="0" fontId="16" numFmtId="0" xfId="0" applyFont="1"/>
    <xf borderId="8" fillId="7" fontId="16" numFmtId="0" xfId="0" applyAlignment="1" applyBorder="1" applyFont="1">
      <alignment vertical="bottom"/>
    </xf>
    <xf borderId="0" fillId="7" fontId="16" numFmtId="0" xfId="0" applyAlignment="1" applyFont="1">
      <alignment vertical="bottom"/>
    </xf>
    <xf borderId="8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1" numFmtId="0" xfId="0" applyFont="1"/>
    <xf borderId="8" fillId="8" fontId="28" numFmtId="0" xfId="0" applyAlignment="1" applyBorder="1" applyFill="1" applyFont="1">
      <alignment readingOrder="0" shrinkToFit="0" vertical="bottom" wrapText="0"/>
    </xf>
    <xf borderId="9" fillId="8" fontId="28" numFmtId="0" xfId="0" applyAlignment="1" applyBorder="1" applyFont="1">
      <alignment readingOrder="0" shrinkToFit="0" vertical="bottom" wrapText="0"/>
    </xf>
    <xf borderId="8" fillId="8" fontId="29" numFmtId="0" xfId="0" applyBorder="1" applyFont="1"/>
    <xf borderId="10" fillId="0" fontId="7" numFmtId="0" xfId="0" applyAlignment="1" applyBorder="1" applyFont="1">
      <alignment readingOrder="0" shrinkToFit="0" vertical="bottom" wrapText="0"/>
    </xf>
    <xf borderId="11" fillId="0" fontId="7" numFmtId="0" xfId="0" applyAlignment="1" applyBorder="1" applyFont="1">
      <alignment horizontal="center" readingOrder="0" shrinkToFit="0" vertical="bottom" wrapText="0"/>
    </xf>
    <xf borderId="8" fillId="0" fontId="6" numFmtId="0" xfId="0" applyBorder="1" applyFont="1"/>
    <xf borderId="0" fillId="0" fontId="10" numFmtId="0" xfId="0" applyFont="1"/>
    <xf borderId="11" fillId="5" fontId="7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10" fillId="0" fontId="30" numFmtId="0" xfId="0" applyAlignment="1" applyBorder="1" applyFont="1">
      <alignment readingOrder="0" shrinkToFit="0" vertical="bottom" wrapText="0"/>
    </xf>
    <xf borderId="11" fillId="0" fontId="30" numFmtId="0" xfId="0" applyAlignment="1" applyBorder="1" applyFont="1">
      <alignment horizontal="center" readingOrder="0" shrinkToFit="0" vertical="bottom" wrapText="0"/>
    </xf>
    <xf borderId="0" fillId="0" fontId="31" numFmtId="0" xfId="0" applyFont="1"/>
    <xf borderId="8" fillId="0" fontId="9" numFmtId="0" xfId="0" applyBorder="1" applyFont="1"/>
    <xf borderId="8" fillId="0" fontId="10" numFmtId="0" xfId="0" applyBorder="1" applyFont="1"/>
    <xf borderId="10" fillId="0" fontId="30" numFmtId="0" xfId="0" applyAlignment="1" applyBorder="1" applyFont="1">
      <alignment shrinkToFit="0" vertical="bottom" wrapText="0"/>
    </xf>
    <xf borderId="11" fillId="0" fontId="30" numFmtId="0" xfId="0" applyAlignment="1" applyBorder="1" applyFont="1">
      <alignment horizontal="center"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10" fillId="0" fontId="32" numFmtId="0" xfId="0" applyAlignment="1" applyBorder="1" applyFont="1">
      <alignment readingOrder="0" shrinkToFit="0" vertical="bottom" wrapText="0"/>
    </xf>
    <xf borderId="11" fillId="0" fontId="32" numFmtId="0" xfId="0" applyAlignment="1" applyBorder="1" applyFont="1">
      <alignment horizontal="center" readingOrder="0" shrinkToFit="0" vertical="bottom" wrapText="0"/>
    </xf>
    <xf borderId="10" fillId="0" fontId="25" numFmtId="0" xfId="0" applyAlignment="1" applyBorder="1" applyFont="1">
      <alignment readingOrder="0" shrinkToFit="0" vertical="bottom" wrapText="0"/>
    </xf>
    <xf borderId="11" fillId="0" fontId="25" numFmtId="0" xfId="0" applyAlignment="1" applyBorder="1" applyFont="1">
      <alignment horizontal="center" readingOrder="0" shrinkToFit="0" vertical="bottom" wrapText="0"/>
    </xf>
    <xf borderId="8" fillId="0" fontId="12" numFmtId="0" xfId="0" applyBorder="1" applyFont="1"/>
    <xf borderId="10" fillId="0" fontId="25" numFmtId="0" xfId="0" applyAlignment="1" applyBorder="1" applyFont="1">
      <alignment shrinkToFit="0" vertical="bottom" wrapText="0"/>
    </xf>
    <xf borderId="11" fillId="0" fontId="25" numFmtId="0" xfId="0" applyAlignment="1" applyBorder="1" applyFont="1">
      <alignment horizontal="center" shrinkToFit="0" vertical="bottom" wrapText="0"/>
    </xf>
    <xf borderId="11" fillId="0" fontId="32" numFmtId="0" xfId="0" applyAlignment="1" applyBorder="1" applyFont="1">
      <alignment horizontal="center" shrinkToFit="0" vertical="bottom" wrapText="0"/>
    </xf>
    <xf borderId="10" fillId="0" fontId="33" numFmtId="0" xfId="0" applyAlignment="1" applyBorder="1" applyFont="1">
      <alignment readingOrder="0" shrinkToFit="0" vertical="bottom" wrapText="0"/>
    </xf>
    <xf borderId="11" fillId="0" fontId="33" numFmtId="0" xfId="0" applyAlignment="1" applyBorder="1" applyFont="1">
      <alignment horizontal="center" readingOrder="0" shrinkToFit="0" vertical="bottom" wrapText="0"/>
    </xf>
    <xf borderId="10" fillId="0" fontId="33" numFmtId="0" xfId="0" applyAlignment="1" applyBorder="1" applyFont="1">
      <alignment shrinkToFit="0" vertical="bottom" wrapText="0"/>
    </xf>
    <xf borderId="11" fillId="0" fontId="33" numFmtId="0" xfId="0" applyAlignment="1" applyBorder="1" applyFont="1">
      <alignment horizontal="center" shrinkToFit="0" vertical="bottom" wrapText="0"/>
    </xf>
    <xf borderId="10" fillId="0" fontId="34" numFmtId="0" xfId="0" applyAlignment="1" applyBorder="1" applyFont="1">
      <alignment shrinkToFit="0" vertical="bottom" wrapText="0"/>
    </xf>
    <xf borderId="11" fillId="0" fontId="34" numFmtId="0" xfId="0" applyAlignment="1" applyBorder="1" applyFont="1">
      <alignment horizontal="center" readingOrder="0" shrinkToFit="0" vertical="bottom" wrapText="0"/>
    </xf>
    <xf borderId="11" fillId="0" fontId="34" numFmtId="0" xfId="0" applyAlignment="1" applyBorder="1" applyFont="1">
      <alignment horizontal="center" shrinkToFit="0" vertical="bottom" wrapText="0"/>
    </xf>
    <xf borderId="11" fillId="0" fontId="34" numFmtId="0" xfId="0" applyAlignment="1" applyBorder="1" applyFont="1">
      <alignment horizontal="center" shrinkToFit="0" vertical="bottom" wrapText="0"/>
    </xf>
    <xf borderId="10" fillId="0" fontId="35" numFmtId="0" xfId="0" applyAlignment="1" applyBorder="1" applyFont="1">
      <alignment readingOrder="0" shrinkToFit="0" vertical="bottom" wrapText="0"/>
    </xf>
    <xf borderId="11" fillId="0" fontId="35" numFmtId="0" xfId="0" applyAlignment="1" applyBorder="1" applyFont="1">
      <alignment horizontal="center" readingOrder="0" shrinkToFit="0" vertical="bottom" wrapText="0"/>
    </xf>
    <xf borderId="10" fillId="0" fontId="35" numFmtId="0" xfId="0" applyAlignment="1" applyBorder="1" applyFont="1">
      <alignment shrinkToFit="0" vertical="bottom" wrapText="0"/>
    </xf>
    <xf borderId="11" fillId="0" fontId="35" numFmtId="0" xfId="0" applyAlignment="1" applyBorder="1" applyFont="1">
      <alignment horizontal="center" shrinkToFit="0" vertical="bottom" wrapText="0"/>
    </xf>
    <xf borderId="11" fillId="0" fontId="35" numFmtId="0" xfId="0" applyAlignment="1" applyBorder="1" applyFont="1">
      <alignment horizontal="center" shrinkToFit="0" vertical="bottom" wrapText="0"/>
    </xf>
    <xf borderId="10" fillId="9" fontId="21" numFmtId="0" xfId="0" applyAlignment="1" applyBorder="1" applyFill="1" applyFont="1">
      <alignment readingOrder="0" shrinkToFit="0" vertical="bottom" wrapText="0"/>
    </xf>
    <xf borderId="11" fillId="9" fontId="21" numFmtId="0" xfId="0" applyAlignment="1" applyBorder="1" applyFont="1">
      <alignment shrinkToFit="0" vertical="bottom" wrapText="0"/>
    </xf>
    <xf borderId="11" fillId="9" fontId="21" numFmtId="0" xfId="0" applyAlignment="1" applyBorder="1" applyFont="1">
      <alignment shrinkToFit="0" vertical="bottom" wrapText="0"/>
    </xf>
    <xf borderId="10" fillId="9" fontId="16" numFmtId="0" xfId="0" applyAlignment="1" applyBorder="1" applyFont="1">
      <alignment readingOrder="0" shrinkToFit="0" vertical="bottom" wrapText="0"/>
    </xf>
    <xf borderId="11" fillId="9" fontId="16" numFmtId="0" xfId="0" applyAlignment="1" applyBorder="1" applyFont="1">
      <alignment shrinkToFit="0" vertical="bottom" wrapText="0"/>
    </xf>
    <xf borderId="11" fillId="9" fontId="21" numFmtId="0" xfId="0" applyAlignment="1" applyBorder="1" applyFont="1">
      <alignment horizontal="right" readingOrder="0" shrinkToFit="0" vertical="bottom" wrapText="0"/>
    </xf>
    <xf borderId="11" fillId="9" fontId="21" numFmtId="0" xfId="0" applyAlignment="1" applyBorder="1" applyFont="1">
      <alignment horizontal="center" readingOrder="0" shrinkToFit="0" vertical="bottom" wrapText="0"/>
    </xf>
    <xf borderId="11" fillId="9" fontId="21" numFmtId="0" xfId="0" applyAlignment="1" applyBorder="1" applyFont="1">
      <alignment readingOrder="0" shrinkToFit="0" vertical="bottom" wrapText="0"/>
    </xf>
    <xf borderId="11" fillId="9" fontId="16" numFmtId="0" xfId="0" applyAlignment="1" applyBorder="1" applyFont="1">
      <alignment shrinkToFit="0" vertical="bottom" wrapText="0"/>
    </xf>
    <xf borderId="10" fillId="9" fontId="16" numFmtId="0" xfId="0" applyAlignment="1" applyBorder="1" applyFont="1">
      <alignment shrinkToFit="0" vertical="bottom" wrapText="0"/>
    </xf>
    <xf borderId="10" fillId="9" fontId="16" numFmtId="0" xfId="0" applyAlignment="1" applyBorder="1" applyFont="1">
      <alignment shrinkToFit="0" vertical="bottom" wrapText="0"/>
    </xf>
    <xf borderId="11" fillId="9" fontId="21" numFmtId="0" xfId="0" applyAlignment="1" applyBorder="1" applyFont="1">
      <alignment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0" fillId="0" fontId="36" numFmtId="0" xfId="0" applyAlignment="1" applyFont="1">
      <alignment shrinkToFit="0" vertical="bottom" wrapText="0"/>
    </xf>
    <xf borderId="11" fillId="0" fontId="7" numFmtId="0" xfId="0" applyAlignment="1" applyBorder="1" applyFont="1">
      <alignment readingOrder="0" shrinkToFit="0" vertical="bottom" wrapText="0"/>
    </xf>
    <xf borderId="11" fillId="0" fontId="7" numFmtId="0" xfId="0" applyAlignment="1" applyBorder="1" applyFont="1">
      <alignment horizontal="right" readingOrder="0" shrinkToFit="0" vertical="bottom" wrapText="0"/>
    </xf>
    <xf borderId="11" fillId="0" fontId="7" numFmtId="0" xfId="0" applyAlignment="1" applyBorder="1" applyFont="1">
      <alignment shrinkToFit="0" vertical="bottom" wrapText="0"/>
    </xf>
    <xf borderId="11" fillId="0" fontId="30" numFmtId="0" xfId="0" applyAlignment="1" applyBorder="1" applyFont="1">
      <alignment readingOrder="0" shrinkToFit="0" vertical="bottom" wrapText="0"/>
    </xf>
    <xf borderId="11" fillId="0" fontId="30" numFmtId="0" xfId="0" applyAlignment="1" applyBorder="1" applyFont="1">
      <alignment horizontal="right" readingOrder="0" shrinkToFit="0" vertical="bottom" wrapText="0"/>
    </xf>
    <xf borderId="11" fillId="0" fontId="37" numFmtId="0" xfId="0" applyAlignment="1" applyBorder="1" applyFont="1">
      <alignment shrinkToFit="0" vertical="bottom" wrapText="0"/>
    </xf>
    <xf borderId="11" fillId="0" fontId="30" numFmtId="0" xfId="0" applyAlignment="1" applyBorder="1" applyFont="1">
      <alignment shrinkToFit="0" vertical="bottom" wrapText="0"/>
    </xf>
    <xf borderId="11" fillId="5" fontId="30" numFmtId="0" xfId="0" applyAlignment="1" applyBorder="1" applyFont="1">
      <alignment readingOrder="0" shrinkToFit="0" vertical="bottom" wrapText="0"/>
    </xf>
    <xf borderId="10" fillId="0" fontId="30" numFmtId="0" xfId="0" applyAlignment="1" applyBorder="1" applyFont="1">
      <alignment shrinkToFit="0" vertical="bottom" wrapText="0"/>
    </xf>
    <xf borderId="11" fillId="0" fontId="32" numFmtId="0" xfId="0" applyAlignment="1" applyBorder="1" applyFont="1">
      <alignment readingOrder="0" shrinkToFit="0" vertical="bottom" wrapText="0"/>
    </xf>
    <xf borderId="11" fillId="0" fontId="32" numFmtId="0" xfId="0" applyAlignment="1" applyBorder="1" applyFont="1">
      <alignment horizontal="right" readingOrder="0" shrinkToFit="0" vertical="bottom" wrapText="0"/>
    </xf>
    <xf borderId="11" fillId="0" fontId="25" numFmtId="0" xfId="0" applyAlignment="1" applyBorder="1" applyFont="1">
      <alignment shrinkToFit="0" vertical="bottom" wrapText="0"/>
    </xf>
    <xf borderId="11" fillId="0" fontId="25" numFmtId="0" xfId="0" applyAlignment="1" applyBorder="1" applyFont="1">
      <alignment readingOrder="0" shrinkToFit="0" vertical="bottom" wrapText="0"/>
    </xf>
    <xf borderId="11" fillId="0" fontId="25" numFmtId="0" xfId="0" applyAlignment="1" applyBorder="1" applyFont="1">
      <alignment horizontal="right" readingOrder="0" shrinkToFit="0" vertical="bottom" wrapText="0"/>
    </xf>
    <xf borderId="11" fillId="5" fontId="32" numFmtId="0" xfId="0" applyAlignment="1" applyBorder="1" applyFont="1">
      <alignment readingOrder="0" shrinkToFit="0" vertical="bottom" wrapText="0"/>
    </xf>
    <xf borderId="11" fillId="0" fontId="25" numFmtId="0" xfId="0" applyAlignment="1" applyBorder="1" applyFont="1">
      <alignment shrinkToFit="0" vertical="bottom" wrapText="0"/>
    </xf>
    <xf borderId="11" fillId="0" fontId="32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11" fillId="0" fontId="33" numFmtId="0" xfId="0" applyAlignment="1" applyBorder="1" applyFont="1">
      <alignment readingOrder="0" shrinkToFit="0" vertical="bottom" wrapText="0"/>
    </xf>
    <xf borderId="11" fillId="0" fontId="33" numFmtId="0" xfId="0" applyAlignment="1" applyBorder="1" applyFont="1">
      <alignment horizontal="right" readingOrder="0" shrinkToFit="0" vertical="bottom" wrapText="0"/>
    </xf>
    <xf borderId="11" fillId="0" fontId="33" numFmtId="0" xfId="0" applyAlignment="1" applyBorder="1" applyFont="1">
      <alignment shrinkToFit="0" vertical="bottom" wrapText="0"/>
    </xf>
    <xf borderId="11" fillId="5" fontId="33" numFmtId="0" xfId="0" applyAlignment="1" applyBorder="1" applyFont="1">
      <alignment readingOrder="0" shrinkToFit="0" vertical="bottom" wrapText="0"/>
    </xf>
    <xf borderId="10" fillId="0" fontId="34" numFmtId="0" xfId="0" applyAlignment="1" applyBorder="1" applyFont="1">
      <alignment readingOrder="0" shrinkToFit="0" vertical="bottom" wrapText="0"/>
    </xf>
    <xf borderId="11" fillId="0" fontId="34" numFmtId="0" xfId="0" applyAlignment="1" applyBorder="1" applyFont="1">
      <alignment readingOrder="0" shrinkToFit="0" vertical="bottom" wrapText="0"/>
    </xf>
    <xf borderId="11" fillId="0" fontId="34" numFmtId="0" xfId="0" applyAlignment="1" applyBorder="1" applyFont="1">
      <alignment horizontal="right" readingOrder="0" shrinkToFit="0" vertical="bottom" wrapText="0"/>
    </xf>
    <xf borderId="11" fillId="0" fontId="34" numFmtId="0" xfId="0" applyAlignment="1" applyBorder="1" applyFont="1">
      <alignment shrinkToFit="0" vertical="bottom" wrapText="0"/>
    </xf>
    <xf borderId="10" fillId="0" fontId="34" numFmtId="0" xfId="0" applyAlignment="1" applyBorder="1" applyFont="1">
      <alignment shrinkToFit="0" vertical="bottom" wrapText="0"/>
    </xf>
    <xf borderId="10" fillId="0" fontId="35" numFmtId="0" xfId="0" applyAlignment="1" applyBorder="1" applyFont="1">
      <alignment shrinkToFit="0" vertical="bottom" wrapText="0"/>
    </xf>
    <xf borderId="11" fillId="0" fontId="35" numFmtId="0" xfId="0" applyAlignment="1" applyBorder="1" applyFont="1">
      <alignment readingOrder="0" shrinkToFit="0" vertical="bottom" wrapText="0"/>
    </xf>
    <xf borderId="11" fillId="0" fontId="35" numFmtId="0" xfId="0" applyAlignment="1" applyBorder="1" applyFont="1">
      <alignment shrinkToFit="0" vertical="bottom" wrapText="0"/>
    </xf>
    <xf borderId="11" fillId="0" fontId="35" numFmtId="0" xfId="0" applyAlignment="1" applyBorder="1" applyFont="1">
      <alignment shrinkToFit="0" vertical="bottom" wrapText="0"/>
    </xf>
    <xf borderId="11" fillId="9" fontId="16" numFmtId="0" xfId="0" applyAlignment="1" applyBorder="1" applyFont="1">
      <alignment readingOrder="0" shrinkToFit="0" vertical="bottom" wrapText="0"/>
    </xf>
    <xf borderId="0" fillId="0" fontId="36" numFmtId="0" xfId="0" applyAlignment="1" applyFont="1">
      <alignment shrinkToFit="0" vertical="bottom" wrapText="0"/>
    </xf>
    <xf borderId="11" fillId="5" fontId="7" numFmtId="0" xfId="0" applyAlignment="1" applyBorder="1" applyFont="1">
      <alignment readingOrder="0" shrinkToFit="0" vertical="bottom" wrapText="0"/>
    </xf>
    <xf borderId="10" fillId="0" fontId="25" numFmtId="0" xfId="0" applyAlignment="1" applyBorder="1" applyFont="1">
      <alignment shrinkToFit="0" vertical="bottom" wrapText="0"/>
    </xf>
    <xf borderId="11" fillId="0" fontId="32" numFmtId="0" xfId="0" applyAlignment="1" applyBorder="1" applyFont="1">
      <alignment shrinkToFit="0" vertical="bottom" wrapText="0"/>
    </xf>
    <xf borderId="11" fillId="0" fontId="35" numFmtId="0" xfId="0" applyAlignment="1" applyBorder="1" applyFont="1">
      <alignment horizontal="right" readingOrder="0" shrinkToFit="0" vertical="bottom" wrapText="0"/>
    </xf>
    <xf borderId="10" fillId="0" fontId="38" numFmtId="0" xfId="0" applyAlignment="1" applyBorder="1" applyFont="1">
      <alignment shrinkToFit="0" vertical="bottom" wrapText="0"/>
    </xf>
    <xf borderId="11" fillId="0" fontId="38" numFmtId="0" xfId="0" applyAlignment="1" applyBorder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10" fillId="0" fontId="32" numFmtId="0" xfId="0" applyAlignment="1" applyBorder="1" applyFont="1">
      <alignment shrinkToFit="0" vertical="bottom" wrapText="0"/>
    </xf>
    <xf borderId="10" fillId="0" fontId="33" numFmtId="0" xfId="0" applyAlignment="1" applyBorder="1" applyFont="1">
      <alignment shrinkToFit="0" vertical="bottom" wrapText="0"/>
    </xf>
    <xf borderId="11" fillId="0" fontId="33" numFmtId="0" xfId="0" applyAlignment="1" applyBorder="1" applyFont="1">
      <alignment shrinkToFit="0" vertical="bottom" wrapText="0"/>
    </xf>
    <xf borderId="11" fillId="0" fontId="30" numFmtId="0" xfId="0" applyAlignment="1" applyBorder="1" applyFont="1">
      <alignment shrinkToFit="0" vertical="bottom" wrapText="0"/>
    </xf>
    <xf borderId="11" fillId="5" fontId="34" numFmtId="0" xfId="0" applyAlignment="1" applyBorder="1" applyFont="1">
      <alignment readingOrder="0" shrinkToFit="0" vertical="bottom" wrapText="0"/>
    </xf>
    <xf borderId="11" fillId="0" fontId="34" numFmtId="0" xfId="0" applyAlignment="1" applyBorder="1" applyFont="1">
      <alignment shrinkToFit="0" vertical="bottom" wrapText="0"/>
    </xf>
    <xf borderId="10" fillId="0" fontId="38" numFmtId="0" xfId="0" applyAlignment="1" applyBorder="1" applyFont="1">
      <alignment shrinkToFit="0" vertical="bottom" wrapText="0"/>
    </xf>
    <xf borderId="11" fillId="0" fontId="38" numFmtId="0" xfId="0" applyAlignment="1" applyBorder="1" applyFont="1">
      <alignment shrinkToFit="0" vertical="bottom" wrapText="0"/>
    </xf>
    <xf borderId="10" fillId="9" fontId="16" numFmtId="0" xfId="0" applyAlignment="1" applyBorder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8" fillId="0" fontId="13" numFmtId="0" xfId="0" applyBorder="1" applyFont="1"/>
    <xf borderId="8" fillId="0" fontId="15" numFmtId="0" xfId="0" applyBorder="1" applyFont="1"/>
    <xf borderId="8" fillId="0" fontId="18" numFmtId="0" xfId="0" applyBorder="1" applyFont="1"/>
    <xf borderId="8" fillId="0" fontId="20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71"/>
    <col customWidth="1" min="3" max="3" width="3.71"/>
    <col customWidth="1" min="4" max="4" width="14.86"/>
    <col customWidth="1" min="5" max="5" width="3.71"/>
    <col customWidth="1" min="6" max="6" width="15.71"/>
    <col customWidth="1" min="7" max="7" width="3.71"/>
    <col customWidth="1" min="8" max="8" width="15.86"/>
    <col customWidth="1" min="9" max="9" width="3.71"/>
    <col customWidth="1" min="10" max="10" width="16.71"/>
    <col customWidth="1" min="11" max="11" width="3.71"/>
    <col customWidth="1" min="12" max="12" width="15.86"/>
    <col customWidth="1" min="13" max="13" width="3.71"/>
    <col customWidth="1" min="14" max="14" width="5.0"/>
    <col customWidth="1" min="15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3"/>
      <c r="B2" s="4" t="s">
        <v>0</v>
      </c>
      <c r="C2" s="4"/>
      <c r="D2" s="4" t="s">
        <v>1</v>
      </c>
      <c r="E2" s="4"/>
      <c r="F2" s="4" t="s">
        <v>2</v>
      </c>
      <c r="G2" s="4"/>
      <c r="H2" s="4" t="s">
        <v>3</v>
      </c>
      <c r="I2" s="4"/>
      <c r="J2" s="4" t="s">
        <v>4</v>
      </c>
      <c r="K2" s="4"/>
      <c r="L2" s="4" t="s">
        <v>5</v>
      </c>
      <c r="M2" s="4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6" t="s">
        <v>6</v>
      </c>
      <c r="B3" s="7" t="s">
        <v>7</v>
      </c>
      <c r="C3" s="6" t="s">
        <v>8</v>
      </c>
      <c r="D3" s="7" t="s">
        <v>7</v>
      </c>
      <c r="E3" s="6" t="s">
        <v>8</v>
      </c>
      <c r="F3" s="7" t="s">
        <v>7</v>
      </c>
      <c r="G3" s="6" t="s">
        <v>8</v>
      </c>
      <c r="H3" s="7" t="s">
        <v>7</v>
      </c>
      <c r="I3" s="6" t="s">
        <v>8</v>
      </c>
      <c r="J3" s="7" t="s">
        <v>7</v>
      </c>
      <c r="K3" s="6" t="s">
        <v>8</v>
      </c>
      <c r="L3" s="7" t="s">
        <v>7</v>
      </c>
      <c r="M3" s="6" t="s">
        <v>8</v>
      </c>
      <c r="N3" s="6" t="s">
        <v>6</v>
      </c>
      <c r="O3" s="1"/>
      <c r="P3" s="1"/>
      <c r="Q3" s="8">
        <v>51.0</v>
      </c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9" t="s">
        <v>9</v>
      </c>
      <c r="B4" s="10" t="s">
        <v>10</v>
      </c>
      <c r="C4" s="11">
        <v>13.0</v>
      </c>
      <c r="D4" s="10" t="s">
        <v>11</v>
      </c>
      <c r="E4" s="11">
        <v>3.0</v>
      </c>
      <c r="F4" s="10" t="s">
        <v>12</v>
      </c>
      <c r="G4" s="11">
        <v>17.0</v>
      </c>
      <c r="H4" s="10" t="s">
        <v>13</v>
      </c>
      <c r="I4" s="11">
        <v>8.0</v>
      </c>
      <c r="J4" s="10" t="s">
        <v>14</v>
      </c>
      <c r="K4" s="11">
        <v>7.0</v>
      </c>
      <c r="L4" s="10" t="s">
        <v>15</v>
      </c>
      <c r="M4" s="11">
        <v>16.0</v>
      </c>
      <c r="N4" s="9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9" t="s">
        <v>9</v>
      </c>
      <c r="B5" s="12" t="s">
        <v>16</v>
      </c>
      <c r="C5" s="13">
        <v>15.0</v>
      </c>
      <c r="D5" s="10" t="s">
        <v>17</v>
      </c>
      <c r="E5" s="11">
        <v>3.0</v>
      </c>
      <c r="F5" s="14" t="s">
        <v>18</v>
      </c>
      <c r="G5" s="15">
        <v>5.0</v>
      </c>
      <c r="H5" s="10" t="s">
        <v>19</v>
      </c>
      <c r="I5" s="11">
        <v>3.0</v>
      </c>
      <c r="J5" s="16" t="s">
        <v>20</v>
      </c>
      <c r="K5" s="17">
        <v>1.0</v>
      </c>
      <c r="L5" s="18" t="s">
        <v>21</v>
      </c>
      <c r="M5" s="19">
        <v>3.0</v>
      </c>
      <c r="N5" s="9" t="s">
        <v>9</v>
      </c>
      <c r="O5" s="1"/>
      <c r="P5" s="8">
        <v>3.0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9" t="s">
        <v>9</v>
      </c>
      <c r="B6" s="10"/>
      <c r="C6" s="11"/>
      <c r="D6" s="10"/>
      <c r="E6" s="11"/>
      <c r="F6" s="10" t="s">
        <v>22</v>
      </c>
      <c r="G6" s="11">
        <v>3.0</v>
      </c>
      <c r="H6" s="10"/>
      <c r="I6" s="20"/>
      <c r="J6" s="21"/>
      <c r="K6" s="22"/>
      <c r="L6" s="23"/>
      <c r="M6" s="23"/>
      <c r="N6" s="24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9" t="s">
        <v>9</v>
      </c>
      <c r="B7" s="10"/>
      <c r="C7" s="11"/>
      <c r="D7" s="10"/>
      <c r="E7" s="11"/>
      <c r="F7" s="10" t="s">
        <v>23</v>
      </c>
      <c r="G7" s="11">
        <v>2.0</v>
      </c>
      <c r="H7" s="10"/>
      <c r="I7" s="20"/>
      <c r="J7" s="25"/>
      <c r="K7" s="26"/>
      <c r="L7" s="27"/>
      <c r="M7" s="27"/>
      <c r="N7" s="24" t="s">
        <v>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8" t="s">
        <v>24</v>
      </c>
      <c r="B8" s="29" t="s">
        <v>25</v>
      </c>
      <c r="C8" s="30">
        <v>42.0</v>
      </c>
      <c r="D8" s="29" t="s">
        <v>26</v>
      </c>
      <c r="E8" s="30">
        <v>50.0</v>
      </c>
      <c r="G8" s="30"/>
      <c r="H8" s="29" t="s">
        <v>27</v>
      </c>
      <c r="I8" s="30">
        <v>29.0</v>
      </c>
      <c r="J8" s="31" t="s">
        <v>28</v>
      </c>
      <c r="K8" s="32">
        <v>44.0</v>
      </c>
      <c r="L8" s="31" t="s">
        <v>29</v>
      </c>
      <c r="M8" s="32">
        <v>50.0</v>
      </c>
      <c r="N8" s="28" t="s">
        <v>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8" t="s">
        <v>24</v>
      </c>
      <c r="B9" s="29" t="s">
        <v>30</v>
      </c>
      <c r="C9" s="30">
        <v>12.0</v>
      </c>
      <c r="D9" s="29" t="s">
        <v>31</v>
      </c>
      <c r="E9" s="30">
        <v>36.0</v>
      </c>
      <c r="F9" s="33" t="s">
        <v>32</v>
      </c>
      <c r="G9" s="34">
        <v>28.0</v>
      </c>
      <c r="H9" s="29" t="s">
        <v>33</v>
      </c>
      <c r="I9" s="30">
        <v>28.0</v>
      </c>
      <c r="J9" s="29" t="s">
        <v>34</v>
      </c>
      <c r="K9" s="30">
        <v>30.0</v>
      </c>
      <c r="L9" s="29" t="s">
        <v>35</v>
      </c>
      <c r="M9" s="30">
        <v>32.0</v>
      </c>
      <c r="N9" s="28" t="s">
        <v>24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8" t="s">
        <v>24</v>
      </c>
      <c r="B10" s="29" t="s">
        <v>36</v>
      </c>
      <c r="C10" s="30">
        <v>7.0</v>
      </c>
      <c r="D10" s="29" t="s">
        <v>37</v>
      </c>
      <c r="E10" s="30">
        <v>1.0</v>
      </c>
      <c r="F10" s="29" t="s">
        <v>38</v>
      </c>
      <c r="G10" s="30">
        <v>3.0</v>
      </c>
      <c r="H10" s="33" t="s">
        <v>39</v>
      </c>
      <c r="I10" s="34">
        <v>6.0</v>
      </c>
      <c r="J10" s="29" t="s">
        <v>40</v>
      </c>
      <c r="K10" s="30">
        <v>22.0</v>
      </c>
      <c r="L10" s="29" t="s">
        <v>41</v>
      </c>
      <c r="M10" s="30">
        <v>6.0</v>
      </c>
      <c r="N10" s="28" t="s">
        <v>24</v>
      </c>
      <c r="O10" s="1"/>
      <c r="P10" s="8">
        <v>12.0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8" t="s">
        <v>24</v>
      </c>
      <c r="B11" s="29" t="s">
        <v>42</v>
      </c>
      <c r="C11" s="30">
        <v>3.0</v>
      </c>
      <c r="D11" s="33" t="s">
        <v>43</v>
      </c>
      <c r="E11" s="34">
        <v>14.0</v>
      </c>
      <c r="F11" s="29" t="s">
        <v>44</v>
      </c>
      <c r="G11" s="30">
        <v>2.0</v>
      </c>
      <c r="H11" s="33" t="s">
        <v>45</v>
      </c>
      <c r="I11" s="34">
        <v>4.0</v>
      </c>
      <c r="J11" s="29" t="s">
        <v>46</v>
      </c>
      <c r="K11" s="30">
        <v>5.0</v>
      </c>
      <c r="L11" s="33" t="s">
        <v>47</v>
      </c>
      <c r="M11" s="34">
        <v>9.0</v>
      </c>
      <c r="N11" s="28" t="s">
        <v>24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8" t="s">
        <v>24</v>
      </c>
      <c r="B12" s="29" t="s">
        <v>48</v>
      </c>
      <c r="C12" s="30">
        <v>3.0</v>
      </c>
      <c r="D12" s="33" t="s">
        <v>49</v>
      </c>
      <c r="E12" s="34">
        <v>4.0</v>
      </c>
      <c r="F12" s="33" t="s">
        <v>50</v>
      </c>
      <c r="G12" s="34">
        <v>29.0</v>
      </c>
      <c r="H12" s="29" t="s">
        <v>51</v>
      </c>
      <c r="I12" s="30">
        <v>2.0</v>
      </c>
      <c r="J12" s="29" t="s">
        <v>52</v>
      </c>
      <c r="K12" s="30">
        <v>5.0</v>
      </c>
      <c r="L12" s="33" t="s">
        <v>53</v>
      </c>
      <c r="M12" s="34">
        <v>5.0</v>
      </c>
      <c r="N12" s="28" t="s">
        <v>24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8" t="s">
        <v>24</v>
      </c>
      <c r="B13" s="33" t="s">
        <v>54</v>
      </c>
      <c r="C13" s="34">
        <v>2.0</v>
      </c>
      <c r="D13" s="29"/>
      <c r="E13" s="30"/>
      <c r="F13" s="29" t="s">
        <v>55</v>
      </c>
      <c r="G13" s="30">
        <v>1.0</v>
      </c>
      <c r="H13" s="29" t="s">
        <v>56</v>
      </c>
      <c r="I13" s="30">
        <v>1.0</v>
      </c>
      <c r="J13" s="29" t="s">
        <v>57</v>
      </c>
      <c r="K13" s="30">
        <v>4.0</v>
      </c>
      <c r="L13" s="29"/>
      <c r="M13" s="30"/>
      <c r="N13" s="28" t="s">
        <v>24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28" t="s">
        <v>24</v>
      </c>
      <c r="B14" s="29" t="s">
        <v>58</v>
      </c>
      <c r="C14" s="30">
        <v>1.0</v>
      </c>
      <c r="D14" s="29"/>
      <c r="E14" s="30"/>
      <c r="F14" s="29"/>
      <c r="G14" s="30"/>
      <c r="H14" s="29" t="s">
        <v>59</v>
      </c>
      <c r="I14" s="30">
        <v>1.0</v>
      </c>
      <c r="J14" s="33" t="s">
        <v>60</v>
      </c>
      <c r="K14" s="34">
        <v>12.0</v>
      </c>
      <c r="L14" s="29"/>
      <c r="M14" s="30"/>
      <c r="N14" s="28" t="s">
        <v>24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28" t="s">
        <v>24</v>
      </c>
      <c r="B15" s="29"/>
      <c r="C15" s="30"/>
      <c r="D15" s="29"/>
      <c r="E15" s="30"/>
      <c r="F15" s="29"/>
      <c r="G15" s="30"/>
      <c r="H15" s="29"/>
      <c r="I15" s="30"/>
      <c r="J15" s="33" t="s">
        <v>61</v>
      </c>
      <c r="K15" s="34">
        <v>3.0</v>
      </c>
      <c r="L15" s="29"/>
      <c r="M15" s="30"/>
      <c r="N15" s="28" t="s">
        <v>24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28" t="s">
        <v>24</v>
      </c>
      <c r="B16" s="29"/>
      <c r="C16" s="30"/>
      <c r="D16" s="29"/>
      <c r="E16" s="30"/>
      <c r="F16" s="29"/>
      <c r="G16" s="30"/>
      <c r="H16" s="29"/>
      <c r="I16" s="30"/>
      <c r="J16" s="33" t="s">
        <v>62</v>
      </c>
      <c r="K16" s="34">
        <v>4.0</v>
      </c>
      <c r="L16" s="29"/>
      <c r="M16" s="30"/>
      <c r="N16" s="28" t="s">
        <v>24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35" t="s">
        <v>63</v>
      </c>
      <c r="B17" s="36" t="s">
        <v>64</v>
      </c>
      <c r="C17" s="37">
        <v>28.0</v>
      </c>
      <c r="D17" s="36" t="s">
        <v>65</v>
      </c>
      <c r="E17" s="37">
        <v>45.0</v>
      </c>
      <c r="F17" s="36" t="s">
        <v>66</v>
      </c>
      <c r="G17" s="37">
        <v>37.0</v>
      </c>
      <c r="H17" s="36" t="s">
        <v>67</v>
      </c>
      <c r="I17" s="37">
        <v>24.0</v>
      </c>
      <c r="J17" s="36" t="s">
        <v>68</v>
      </c>
      <c r="K17" s="37">
        <v>27.0</v>
      </c>
      <c r="L17" s="38" t="s">
        <v>69</v>
      </c>
      <c r="M17" s="39">
        <v>31.0</v>
      </c>
      <c r="N17" s="35" t="s">
        <v>63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35" t="s">
        <v>63</v>
      </c>
      <c r="B18" s="36" t="s">
        <v>70</v>
      </c>
      <c r="C18" s="37">
        <v>18.0</v>
      </c>
      <c r="D18" s="40" t="s">
        <v>71</v>
      </c>
      <c r="E18" s="41">
        <v>18.0</v>
      </c>
      <c r="F18" s="36" t="s">
        <v>72</v>
      </c>
      <c r="G18" s="37">
        <v>15.0</v>
      </c>
      <c r="H18" s="36" t="s">
        <v>73</v>
      </c>
      <c r="I18" s="37">
        <v>20.0</v>
      </c>
      <c r="J18" s="36" t="s">
        <v>74</v>
      </c>
      <c r="K18" s="37">
        <v>16.0</v>
      </c>
      <c r="L18" s="36" t="s">
        <v>75</v>
      </c>
      <c r="M18" s="37">
        <v>7.0</v>
      </c>
      <c r="N18" s="35" t="s">
        <v>63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35" t="s">
        <v>63</v>
      </c>
      <c r="B19" s="36" t="s">
        <v>76</v>
      </c>
      <c r="C19" s="37">
        <v>11.0</v>
      </c>
      <c r="D19" s="36" t="s">
        <v>77</v>
      </c>
      <c r="E19" s="37">
        <v>15.0</v>
      </c>
      <c r="F19" s="36" t="s">
        <v>78</v>
      </c>
      <c r="G19" s="37">
        <v>15.0</v>
      </c>
      <c r="H19" s="40" t="s">
        <v>79</v>
      </c>
      <c r="I19" s="41">
        <v>12.0</v>
      </c>
      <c r="J19" s="36" t="s">
        <v>80</v>
      </c>
      <c r="K19" s="37">
        <v>14.0</v>
      </c>
      <c r="L19" s="36" t="s">
        <v>81</v>
      </c>
      <c r="M19" s="37">
        <v>6.0</v>
      </c>
      <c r="N19" s="35" t="s">
        <v>63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35" t="s">
        <v>63</v>
      </c>
      <c r="B20" s="40" t="s">
        <v>82</v>
      </c>
      <c r="C20" s="41">
        <v>9.0</v>
      </c>
      <c r="D20" s="36" t="s">
        <v>83</v>
      </c>
      <c r="E20" s="37">
        <v>7.0</v>
      </c>
      <c r="F20" s="36" t="s">
        <v>84</v>
      </c>
      <c r="G20" s="37">
        <v>3.0</v>
      </c>
      <c r="H20" s="40" t="s">
        <v>85</v>
      </c>
      <c r="I20" s="41">
        <v>8.0</v>
      </c>
      <c r="J20" s="40" t="s">
        <v>86</v>
      </c>
      <c r="K20" s="41">
        <v>7.0</v>
      </c>
      <c r="L20" s="40" t="s">
        <v>87</v>
      </c>
      <c r="M20" s="41">
        <v>5.0</v>
      </c>
      <c r="N20" s="35" t="s">
        <v>63</v>
      </c>
      <c r="O20" s="1"/>
      <c r="P20" s="8">
        <v>10.0</v>
      </c>
      <c r="Q20" s="8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35" t="s">
        <v>63</v>
      </c>
      <c r="B21" s="36" t="s">
        <v>88</v>
      </c>
      <c r="C21" s="37">
        <v>8.0</v>
      </c>
      <c r="D21" s="40" t="s">
        <v>89</v>
      </c>
      <c r="E21" s="41">
        <v>6.0</v>
      </c>
      <c r="F21" s="36" t="s">
        <v>90</v>
      </c>
      <c r="G21" s="37">
        <v>2.0</v>
      </c>
      <c r="H21" s="36" t="s">
        <v>91</v>
      </c>
      <c r="I21" s="37">
        <v>3.0</v>
      </c>
      <c r="J21" s="36" t="s">
        <v>92</v>
      </c>
      <c r="K21" s="37">
        <v>3.0</v>
      </c>
      <c r="L21" s="36" t="s">
        <v>93</v>
      </c>
      <c r="M21" s="37">
        <v>3.0</v>
      </c>
      <c r="N21" s="35" t="s">
        <v>63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35" t="s">
        <v>63</v>
      </c>
      <c r="B22" s="36" t="s">
        <v>94</v>
      </c>
      <c r="C22" s="37">
        <v>6.0</v>
      </c>
      <c r="D22" s="36" t="s">
        <v>95</v>
      </c>
      <c r="E22" s="37">
        <v>3.0</v>
      </c>
      <c r="F22" s="40" t="s">
        <v>96</v>
      </c>
      <c r="G22" s="41">
        <v>20.0</v>
      </c>
      <c r="H22" s="36" t="s">
        <v>97</v>
      </c>
      <c r="I22" s="37">
        <v>1.0</v>
      </c>
      <c r="J22" s="36" t="s">
        <v>98</v>
      </c>
      <c r="K22" s="37">
        <v>1.0</v>
      </c>
      <c r="L22" s="36" t="s">
        <v>99</v>
      </c>
      <c r="M22" s="42">
        <v>1.0</v>
      </c>
      <c r="N22" s="35" t="s">
        <v>63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35" t="s">
        <v>63</v>
      </c>
      <c r="B23" s="40" t="s">
        <v>100</v>
      </c>
      <c r="C23" s="41">
        <v>6.0</v>
      </c>
      <c r="D23" s="36" t="s">
        <v>101</v>
      </c>
      <c r="E23" s="37">
        <v>1.0</v>
      </c>
      <c r="F23" s="40" t="s">
        <v>102</v>
      </c>
      <c r="G23" s="41">
        <v>7.0</v>
      </c>
      <c r="H23" s="36" t="s">
        <v>103</v>
      </c>
      <c r="I23" s="37">
        <v>1.0</v>
      </c>
      <c r="J23" s="36" t="s">
        <v>14</v>
      </c>
      <c r="K23" s="37">
        <v>1.0</v>
      </c>
      <c r="L23" s="38"/>
      <c r="M23" s="39"/>
      <c r="N23" s="35" t="s">
        <v>63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35" t="s">
        <v>63</v>
      </c>
      <c r="B24" s="36" t="s">
        <v>104</v>
      </c>
      <c r="C24" s="37">
        <v>3.0</v>
      </c>
      <c r="D24" s="36" t="s">
        <v>105</v>
      </c>
      <c r="E24" s="37">
        <v>1.0</v>
      </c>
      <c r="F24" s="36"/>
      <c r="G24" s="37"/>
      <c r="H24" s="36"/>
      <c r="I24" s="37"/>
      <c r="J24" s="36" t="s">
        <v>106</v>
      </c>
      <c r="K24" s="37">
        <v>1.0</v>
      </c>
      <c r="L24" s="36"/>
      <c r="M24" s="37"/>
      <c r="N24" s="35" t="s">
        <v>63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35" t="s">
        <v>63</v>
      </c>
      <c r="B25" s="36" t="s">
        <v>107</v>
      </c>
      <c r="C25" s="37">
        <v>2.0</v>
      </c>
      <c r="D25" s="36"/>
      <c r="E25" s="37"/>
      <c r="F25" s="36"/>
      <c r="G25" s="37"/>
      <c r="H25" s="36"/>
      <c r="I25" s="37"/>
      <c r="J25" s="40" t="s">
        <v>108</v>
      </c>
      <c r="K25" s="41">
        <v>2.0</v>
      </c>
      <c r="L25" s="36"/>
      <c r="M25" s="37"/>
      <c r="N25" s="35" t="s">
        <v>63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35" t="s">
        <v>63</v>
      </c>
      <c r="B26" s="40" t="s">
        <v>109</v>
      </c>
      <c r="C26" s="41">
        <v>1.0</v>
      </c>
      <c r="D26" s="36"/>
      <c r="E26" s="37"/>
      <c r="F26" s="36"/>
      <c r="G26" s="37"/>
      <c r="H26" s="36"/>
      <c r="I26" s="37"/>
      <c r="J26" s="40" t="s">
        <v>110</v>
      </c>
      <c r="K26" s="41">
        <v>4.0</v>
      </c>
      <c r="L26" s="36"/>
      <c r="M26" s="37"/>
      <c r="N26" s="35" t="s">
        <v>63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3" t="s">
        <v>111</v>
      </c>
      <c r="B27" s="44" t="s">
        <v>112</v>
      </c>
      <c r="C27" s="45">
        <v>2.0</v>
      </c>
      <c r="D27" s="44" t="s">
        <v>113</v>
      </c>
      <c r="E27" s="45">
        <v>21.0</v>
      </c>
      <c r="F27" s="44" t="s">
        <v>114</v>
      </c>
      <c r="G27" s="45">
        <v>20.0</v>
      </c>
      <c r="H27" s="44" t="s">
        <v>115</v>
      </c>
      <c r="I27" s="45">
        <v>24.0</v>
      </c>
      <c r="J27" s="44" t="s">
        <v>116</v>
      </c>
      <c r="K27" s="45">
        <v>7.0</v>
      </c>
      <c r="L27" s="44" t="s">
        <v>117</v>
      </c>
      <c r="M27" s="45">
        <v>22.0</v>
      </c>
      <c r="N27" s="43" t="s">
        <v>111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3" t="s">
        <v>111</v>
      </c>
      <c r="B28" s="46" t="s">
        <v>118</v>
      </c>
      <c r="C28" s="47">
        <v>5.0</v>
      </c>
      <c r="D28" s="46" t="s">
        <v>119</v>
      </c>
      <c r="E28" s="47">
        <v>2.0</v>
      </c>
      <c r="F28" s="44"/>
      <c r="G28" s="45"/>
      <c r="H28" s="46" t="s">
        <v>120</v>
      </c>
      <c r="I28" s="47">
        <v>5.0</v>
      </c>
      <c r="J28" s="46" t="s">
        <v>121</v>
      </c>
      <c r="K28" s="47">
        <v>6.0</v>
      </c>
      <c r="L28" s="46" t="s">
        <v>122</v>
      </c>
      <c r="M28" s="47">
        <v>1.0</v>
      </c>
      <c r="N28" s="43" t="s">
        <v>111</v>
      </c>
      <c r="O28" s="1"/>
      <c r="P28" s="8">
        <v>5.0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3" t="s">
        <v>111</v>
      </c>
      <c r="B29" s="44"/>
      <c r="C29" s="45"/>
      <c r="D29" s="44"/>
      <c r="E29" s="45"/>
      <c r="F29" s="44"/>
      <c r="G29" s="45"/>
      <c r="H29" s="44" t="s">
        <v>123</v>
      </c>
      <c r="I29" s="45">
        <v>2.0</v>
      </c>
      <c r="J29" s="48"/>
      <c r="K29" s="48"/>
      <c r="L29" s="44"/>
      <c r="M29" s="45"/>
      <c r="N29" s="43" t="s">
        <v>111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9" t="s">
        <v>124</v>
      </c>
      <c r="B30" s="50"/>
      <c r="C30" s="51"/>
      <c r="D30" s="50" t="s">
        <v>125</v>
      </c>
      <c r="E30" s="51">
        <v>1.0</v>
      </c>
      <c r="F30" s="50"/>
      <c r="G30" s="51"/>
      <c r="H30" s="50" t="s">
        <v>126</v>
      </c>
      <c r="I30" s="51">
        <v>1.0</v>
      </c>
      <c r="J30" s="52" t="s">
        <v>127</v>
      </c>
      <c r="K30" s="53">
        <v>4.0</v>
      </c>
      <c r="L30" s="52" t="s">
        <v>128</v>
      </c>
      <c r="M30" s="53">
        <v>5.0</v>
      </c>
      <c r="N30" s="49" t="s">
        <v>124</v>
      </c>
      <c r="O30" s="1"/>
      <c r="P30" s="8">
        <v>2.0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9" t="s">
        <v>124</v>
      </c>
      <c r="B31" s="50"/>
      <c r="C31" s="51"/>
      <c r="D31" s="50" t="s">
        <v>129</v>
      </c>
      <c r="E31" s="51"/>
      <c r="F31" s="50" t="s">
        <v>130</v>
      </c>
      <c r="G31" s="51">
        <v>1.0</v>
      </c>
      <c r="H31" s="50" t="s">
        <v>131</v>
      </c>
      <c r="I31" s="51">
        <v>1.0</v>
      </c>
      <c r="J31" s="50" t="s">
        <v>132</v>
      </c>
      <c r="K31" s="51">
        <v>1.0</v>
      </c>
      <c r="L31" s="50"/>
      <c r="M31" s="51"/>
      <c r="N31" s="49" t="s">
        <v>124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54" t="s">
        <v>133</v>
      </c>
      <c r="B32" s="55" t="s">
        <v>134</v>
      </c>
      <c r="C32" s="56">
        <v>1.0</v>
      </c>
      <c r="D32" s="55"/>
      <c r="E32" s="56"/>
      <c r="F32" s="55" t="s">
        <v>135</v>
      </c>
      <c r="G32" s="56">
        <v>2.0</v>
      </c>
      <c r="H32" s="55" t="s">
        <v>136</v>
      </c>
      <c r="I32" s="56">
        <v>1.0</v>
      </c>
      <c r="J32" s="55" t="s">
        <v>137</v>
      </c>
      <c r="K32" s="56">
        <v>2.0</v>
      </c>
      <c r="L32" s="55" t="s">
        <v>138</v>
      </c>
      <c r="M32" s="56">
        <v>1.0</v>
      </c>
      <c r="N32" s="54" t="s">
        <v>133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54" t="s">
        <v>133</v>
      </c>
      <c r="B33" s="55"/>
      <c r="C33" s="56"/>
      <c r="D33" s="55"/>
      <c r="E33" s="56"/>
      <c r="F33" s="55" t="s">
        <v>139</v>
      </c>
      <c r="G33" s="56">
        <v>2.0</v>
      </c>
      <c r="H33" s="55" t="s">
        <v>140</v>
      </c>
      <c r="I33" s="56">
        <v>1.0</v>
      </c>
      <c r="J33" s="55"/>
      <c r="K33" s="56"/>
      <c r="L33" s="55"/>
      <c r="M33" s="56"/>
      <c r="N33" s="54" t="s">
        <v>133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57" t="s">
        <v>141</v>
      </c>
      <c r="B34" s="58" t="s">
        <v>142</v>
      </c>
      <c r="C34" s="59">
        <v>1.0</v>
      </c>
      <c r="D34" s="60" t="s">
        <v>143</v>
      </c>
      <c r="E34" s="61">
        <v>2.0</v>
      </c>
      <c r="F34" s="62" t="s">
        <v>144</v>
      </c>
      <c r="G34" s="63">
        <v>1.0</v>
      </c>
      <c r="H34" s="60" t="s">
        <v>100</v>
      </c>
      <c r="I34" s="61">
        <v>15.0</v>
      </c>
      <c r="J34" s="58" t="s">
        <v>145</v>
      </c>
      <c r="K34" s="59">
        <v>1.0</v>
      </c>
      <c r="L34" s="60" t="s">
        <v>146</v>
      </c>
      <c r="M34" s="61">
        <v>1.0</v>
      </c>
      <c r="N34" s="57" t="s">
        <v>141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57" t="s">
        <v>141</v>
      </c>
      <c r="B35" s="58" t="s">
        <v>147</v>
      </c>
      <c r="C35" s="61">
        <v>5.0</v>
      </c>
      <c r="D35" s="64" t="s">
        <v>148</v>
      </c>
      <c r="E35" s="65">
        <v>1.0</v>
      </c>
      <c r="F35" s="66" t="s">
        <v>149</v>
      </c>
      <c r="G35" s="67">
        <v>1.0</v>
      </c>
      <c r="H35" s="64"/>
      <c r="I35" s="65"/>
      <c r="J35" s="58" t="s">
        <v>150</v>
      </c>
      <c r="K35" s="59">
        <v>1.0</v>
      </c>
      <c r="L35" s="64" t="s">
        <v>151</v>
      </c>
      <c r="M35" s="65">
        <v>1.0</v>
      </c>
      <c r="N35" s="57" t="s">
        <v>141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7" t="s">
        <v>141</v>
      </c>
      <c r="B36" s="58" t="s">
        <v>152</v>
      </c>
      <c r="C36" s="61">
        <v>2.0</v>
      </c>
      <c r="D36" s="64" t="s">
        <v>153</v>
      </c>
      <c r="E36" s="65">
        <v>1.0</v>
      </c>
      <c r="F36" s="60" t="s">
        <v>154</v>
      </c>
      <c r="G36" s="67">
        <v>1.0</v>
      </c>
      <c r="H36" s="64"/>
      <c r="I36" s="65"/>
      <c r="J36" s="58" t="s">
        <v>155</v>
      </c>
      <c r="K36" s="59">
        <v>1.0</v>
      </c>
      <c r="L36" s="64" t="s">
        <v>156</v>
      </c>
      <c r="M36" s="65">
        <v>1.0</v>
      </c>
      <c r="N36" s="57" t="s">
        <v>141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57" t="s">
        <v>141</v>
      </c>
      <c r="B37" s="58" t="s">
        <v>157</v>
      </c>
      <c r="C37" s="59">
        <v>1.0</v>
      </c>
      <c r="D37" s="64" t="s">
        <v>158</v>
      </c>
      <c r="E37" s="65">
        <v>1.0</v>
      </c>
      <c r="F37" s="60" t="s">
        <v>159</v>
      </c>
      <c r="G37" s="67">
        <v>2.0</v>
      </c>
      <c r="H37" s="64"/>
      <c r="I37" s="65"/>
      <c r="J37" s="58" t="s">
        <v>160</v>
      </c>
      <c r="K37" s="59">
        <v>1.0</v>
      </c>
      <c r="L37" s="64" t="s">
        <v>161</v>
      </c>
      <c r="M37" s="65">
        <v>1.0</v>
      </c>
      <c r="N37" s="57" t="s">
        <v>141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57" t="s">
        <v>141</v>
      </c>
      <c r="B38" s="58" t="s">
        <v>162</v>
      </c>
      <c r="C38" s="59">
        <v>1.0</v>
      </c>
      <c r="D38" s="64" t="s">
        <v>163</v>
      </c>
      <c r="E38" s="65">
        <v>1.0</v>
      </c>
      <c r="F38" s="58" t="s">
        <v>164</v>
      </c>
      <c r="G38" s="67">
        <v>1.0</v>
      </c>
      <c r="H38" s="64"/>
      <c r="I38" s="65"/>
      <c r="J38" s="58" t="s">
        <v>165</v>
      </c>
      <c r="K38" s="59">
        <v>1.0</v>
      </c>
      <c r="L38" s="64" t="s">
        <v>166</v>
      </c>
      <c r="M38" s="65">
        <v>1.0</v>
      </c>
      <c r="N38" s="57" t="s">
        <v>141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68" t="s">
        <v>141</v>
      </c>
      <c r="B39" s="58" t="s">
        <v>167</v>
      </c>
      <c r="C39" s="61">
        <v>1.0</v>
      </c>
      <c r="D39" s="64" t="s">
        <v>168</v>
      </c>
      <c r="E39" s="65">
        <v>1.0</v>
      </c>
      <c r="F39" s="58" t="s">
        <v>169</v>
      </c>
      <c r="G39" s="67">
        <v>16.0</v>
      </c>
      <c r="H39" s="64"/>
      <c r="I39" s="65"/>
      <c r="J39" s="69"/>
      <c r="K39" s="70"/>
      <c r="L39" s="64" t="s">
        <v>54</v>
      </c>
      <c r="M39" s="65">
        <v>1.0</v>
      </c>
      <c r="N39" s="68" t="s">
        <v>141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68" t="s">
        <v>141</v>
      </c>
      <c r="B40" s="71"/>
      <c r="C40" s="72"/>
      <c r="D40" s="64" t="s">
        <v>170</v>
      </c>
      <c r="E40" s="65">
        <v>1.0</v>
      </c>
      <c r="F40" s="58" t="s">
        <v>171</v>
      </c>
      <c r="G40" s="67">
        <v>5.0</v>
      </c>
      <c r="H40" s="64"/>
      <c r="I40" s="65"/>
      <c r="J40" s="69"/>
      <c r="K40" s="70"/>
      <c r="L40" s="64" t="s">
        <v>172</v>
      </c>
      <c r="M40" s="65">
        <v>1.0</v>
      </c>
      <c r="N40" s="68" t="s">
        <v>141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68" t="s">
        <v>141</v>
      </c>
      <c r="B41" s="71"/>
      <c r="C41" s="72"/>
      <c r="D41" s="64" t="s">
        <v>173</v>
      </c>
      <c r="E41" s="65">
        <v>1.0</v>
      </c>
      <c r="F41" s="58" t="s">
        <v>174</v>
      </c>
      <c r="G41" s="61">
        <v>2.0</v>
      </c>
      <c r="H41" s="64"/>
      <c r="I41" s="65"/>
      <c r="J41" s="69"/>
      <c r="K41" s="70"/>
      <c r="L41" s="64" t="s">
        <v>175</v>
      </c>
      <c r="M41" s="65">
        <v>1.0</v>
      </c>
      <c r="N41" s="68" t="s">
        <v>141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73" t="s">
        <v>176</v>
      </c>
      <c r="C42" s="74">
        <f>SUM(C4:C41)</f>
        <v>209</v>
      </c>
      <c r="D42" s="73" t="s">
        <v>176</v>
      </c>
      <c r="E42" s="74">
        <f>SUM(E4:E41)</f>
        <v>240</v>
      </c>
      <c r="F42" s="73" t="s">
        <v>176</v>
      </c>
      <c r="G42" s="74">
        <f>SUM(G4:G41)</f>
        <v>243</v>
      </c>
      <c r="H42" s="73" t="s">
        <v>176</v>
      </c>
      <c r="I42" s="74">
        <f>SUM(I4:I41)</f>
        <v>201</v>
      </c>
      <c r="J42" s="73" t="s">
        <v>176</v>
      </c>
      <c r="K42" s="74">
        <f>SUM(K4:K41)</f>
        <v>238</v>
      </c>
      <c r="L42" s="73" t="s">
        <v>176</v>
      </c>
      <c r="M42" s="74">
        <f>SUM(M4:M41)</f>
        <v>211</v>
      </c>
      <c r="N42" s="7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73" t="s">
        <v>177</v>
      </c>
      <c r="C43" s="74">
        <v>0.0</v>
      </c>
      <c r="D43" s="73" t="s">
        <v>177</v>
      </c>
      <c r="E43" s="74">
        <v>0.0</v>
      </c>
      <c r="F43" s="73" t="s">
        <v>177</v>
      </c>
      <c r="G43" s="74">
        <v>0.0</v>
      </c>
      <c r="H43" s="73" t="s">
        <v>177</v>
      </c>
      <c r="I43" s="74">
        <v>0.0</v>
      </c>
      <c r="J43" s="73" t="s">
        <v>177</v>
      </c>
      <c r="K43" s="74">
        <v>0.0</v>
      </c>
      <c r="L43" s="73" t="s">
        <v>177</v>
      </c>
      <c r="M43" s="74">
        <v>0.0</v>
      </c>
      <c r="N43" s="7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73" t="s">
        <v>178</v>
      </c>
      <c r="C44" s="74">
        <f>SUM(C42+C43)</f>
        <v>209</v>
      </c>
      <c r="D44" s="73" t="s">
        <v>178</v>
      </c>
      <c r="E44" s="74">
        <f>SUM(E42+E43)</f>
        <v>240</v>
      </c>
      <c r="F44" s="73" t="s">
        <v>178</v>
      </c>
      <c r="G44" s="74">
        <f>SUM(G42+G43)</f>
        <v>243</v>
      </c>
      <c r="H44" s="73" t="s">
        <v>178</v>
      </c>
      <c r="I44" s="74">
        <f>SUM(I42+I43)</f>
        <v>201</v>
      </c>
      <c r="J44" s="73" t="s">
        <v>178</v>
      </c>
      <c r="K44" s="74">
        <f>SUM(K42+K43)</f>
        <v>238</v>
      </c>
      <c r="L44" s="73" t="s">
        <v>178</v>
      </c>
      <c r="M44" s="74">
        <f>SUM(M42+M43)</f>
        <v>211</v>
      </c>
      <c r="N44" s="7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75" t="s">
        <v>179</v>
      </c>
      <c r="C45" s="76">
        <f>SUM(250-C44)</f>
        <v>41</v>
      </c>
      <c r="D45" s="75" t="s">
        <v>179</v>
      </c>
      <c r="E45" s="76">
        <f>SUM(250-E44)</f>
        <v>10</v>
      </c>
      <c r="F45" s="75" t="s">
        <v>179</v>
      </c>
      <c r="G45" s="76">
        <f>SUM(250-G44)</f>
        <v>7</v>
      </c>
      <c r="H45" s="75" t="s">
        <v>179</v>
      </c>
      <c r="I45" s="76">
        <f>SUM(250-I44)</f>
        <v>49</v>
      </c>
      <c r="J45" s="75" t="s">
        <v>179</v>
      </c>
      <c r="K45" s="76">
        <f>SUM(250-K44)</f>
        <v>12</v>
      </c>
      <c r="L45" s="75" t="s">
        <v>179</v>
      </c>
      <c r="M45" s="76">
        <f>SUM(250-M44)</f>
        <v>39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75"/>
      <c r="C46" s="76"/>
      <c r="D46" s="75"/>
      <c r="E46" s="76"/>
      <c r="F46" s="75"/>
      <c r="G46" s="76"/>
      <c r="H46" s="75"/>
      <c r="I46" s="76"/>
      <c r="J46" s="75"/>
      <c r="K46" s="76"/>
      <c r="L46" s="75"/>
      <c r="M46" s="7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2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5"/>
      <c r="B49" s="77" t="s">
        <v>180</v>
      </c>
      <c r="C49" s="4"/>
      <c r="D49" s="4" t="s">
        <v>181</v>
      </c>
      <c r="E49" s="4"/>
      <c r="F49" s="4" t="s">
        <v>182</v>
      </c>
      <c r="G49" s="4"/>
      <c r="H49" s="4" t="s">
        <v>183</v>
      </c>
      <c r="I49" s="4"/>
      <c r="J49" s="4"/>
      <c r="K49" s="4"/>
      <c r="L49" s="4" t="s">
        <v>184</v>
      </c>
      <c r="M49" s="4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6" t="s">
        <v>6</v>
      </c>
      <c r="B50" s="7" t="s">
        <v>7</v>
      </c>
      <c r="C50" s="6" t="s">
        <v>8</v>
      </c>
      <c r="D50" s="7" t="s">
        <v>7</v>
      </c>
      <c r="E50" s="6" t="s">
        <v>8</v>
      </c>
      <c r="F50" s="7" t="s">
        <v>7</v>
      </c>
      <c r="G50" s="6" t="s">
        <v>8</v>
      </c>
      <c r="H50" s="7" t="s">
        <v>7</v>
      </c>
      <c r="I50" s="6" t="s">
        <v>8</v>
      </c>
      <c r="J50" s="7" t="s">
        <v>7</v>
      </c>
      <c r="K50" s="6" t="s">
        <v>8</v>
      </c>
      <c r="L50" s="7" t="s">
        <v>7</v>
      </c>
      <c r="M50" s="6" t="s">
        <v>8</v>
      </c>
      <c r="N50" s="6" t="s">
        <v>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9" t="s">
        <v>9</v>
      </c>
      <c r="B51" s="10" t="s">
        <v>185</v>
      </c>
      <c r="C51" s="11">
        <v>11.0</v>
      </c>
      <c r="D51" s="10" t="s">
        <v>186</v>
      </c>
      <c r="E51" s="11">
        <v>5.0</v>
      </c>
      <c r="F51" s="10" t="s">
        <v>187</v>
      </c>
      <c r="G51" s="11">
        <v>14.0</v>
      </c>
      <c r="H51" s="10" t="s">
        <v>188</v>
      </c>
      <c r="I51" s="11">
        <v>23.0</v>
      </c>
      <c r="J51" s="78"/>
      <c r="K51" s="79"/>
      <c r="L51" s="10"/>
      <c r="M51" s="11"/>
      <c r="N51" s="9" t="s">
        <v>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9" t="s">
        <v>9</v>
      </c>
      <c r="B52" s="10" t="s">
        <v>189</v>
      </c>
      <c r="C52" s="11">
        <v>1.0</v>
      </c>
      <c r="D52" s="10" t="s">
        <v>190</v>
      </c>
      <c r="E52" s="11">
        <v>4.0</v>
      </c>
      <c r="F52" s="10" t="s">
        <v>191</v>
      </c>
      <c r="G52" s="11">
        <v>4.0</v>
      </c>
      <c r="H52" s="10"/>
      <c r="I52" s="11"/>
      <c r="J52" s="10"/>
      <c r="K52" s="11"/>
      <c r="L52" s="10"/>
      <c r="M52" s="11"/>
      <c r="N52" s="9" t="s">
        <v>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9" t="s">
        <v>9</v>
      </c>
      <c r="B53" s="10"/>
      <c r="C53" s="11"/>
      <c r="D53" s="10" t="s">
        <v>129</v>
      </c>
      <c r="E53" s="11" t="s">
        <v>129</v>
      </c>
      <c r="F53" s="10" t="s">
        <v>192</v>
      </c>
      <c r="G53" s="11">
        <v>2.0</v>
      </c>
      <c r="H53" s="10"/>
      <c r="I53" s="11"/>
      <c r="J53" s="10"/>
      <c r="K53" s="11"/>
      <c r="L53" s="10"/>
      <c r="M53" s="11"/>
      <c r="N53" s="9" t="s">
        <v>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9" t="s">
        <v>9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9" t="s">
        <v>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28" t="s">
        <v>24</v>
      </c>
      <c r="B55" s="29" t="s">
        <v>193</v>
      </c>
      <c r="C55" s="30">
        <v>49.0</v>
      </c>
      <c r="D55" s="29" t="s">
        <v>194</v>
      </c>
      <c r="E55" s="30">
        <v>29.0</v>
      </c>
      <c r="F55" s="29" t="s">
        <v>195</v>
      </c>
      <c r="G55" s="30">
        <v>45.0</v>
      </c>
      <c r="H55" s="29" t="s">
        <v>196</v>
      </c>
      <c r="I55" s="30">
        <v>53.0</v>
      </c>
      <c r="J55" s="29"/>
      <c r="K55" s="30"/>
      <c r="L55" s="29"/>
      <c r="M55" s="30"/>
      <c r="N55" s="28" t="s">
        <v>24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28" t="s">
        <v>24</v>
      </c>
      <c r="B56" s="29" t="s">
        <v>197</v>
      </c>
      <c r="C56" s="30">
        <v>22.0</v>
      </c>
      <c r="D56" s="29" t="s">
        <v>198</v>
      </c>
      <c r="E56" s="30">
        <v>20.0</v>
      </c>
      <c r="F56" s="29" t="s">
        <v>199</v>
      </c>
      <c r="G56" s="30">
        <v>41.0</v>
      </c>
      <c r="H56" s="29" t="s">
        <v>200</v>
      </c>
      <c r="I56" s="30">
        <v>33.0</v>
      </c>
      <c r="J56" s="29"/>
      <c r="K56" s="30"/>
      <c r="L56" s="29"/>
      <c r="M56" s="30"/>
      <c r="N56" s="28" t="s">
        <v>24</v>
      </c>
      <c r="O56" s="1"/>
      <c r="P56" s="8">
        <v>7.0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28" t="s">
        <v>24</v>
      </c>
      <c r="B57" s="29" t="s">
        <v>201</v>
      </c>
      <c r="C57" s="30">
        <v>16.0</v>
      </c>
      <c r="D57" s="29" t="s">
        <v>202</v>
      </c>
      <c r="E57" s="30">
        <v>9.0</v>
      </c>
      <c r="F57" s="29" t="s">
        <v>164</v>
      </c>
      <c r="G57" s="30">
        <v>11.0</v>
      </c>
      <c r="H57" s="33" t="s">
        <v>203</v>
      </c>
      <c r="I57" s="34">
        <v>8.0</v>
      </c>
      <c r="J57" s="29"/>
      <c r="K57" s="30"/>
      <c r="L57" s="29"/>
      <c r="M57" s="30"/>
      <c r="N57" s="28" t="s">
        <v>24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28" t="s">
        <v>24</v>
      </c>
      <c r="B58" s="80" t="s">
        <v>204</v>
      </c>
      <c r="C58" s="80">
        <v>4.0</v>
      </c>
      <c r="D58" s="29" t="s">
        <v>205</v>
      </c>
      <c r="E58" s="30">
        <v>1.0</v>
      </c>
      <c r="F58" s="29" t="s">
        <v>206</v>
      </c>
      <c r="G58" s="30">
        <v>2.0</v>
      </c>
      <c r="H58" s="33" t="s">
        <v>207</v>
      </c>
      <c r="I58" s="34">
        <v>2.0</v>
      </c>
      <c r="J58" s="29" t="s">
        <v>129</v>
      </c>
      <c r="K58" s="30" t="s">
        <v>129</v>
      </c>
      <c r="L58" s="29"/>
      <c r="M58" s="30"/>
      <c r="N58" s="28" t="s">
        <v>24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28" t="s">
        <v>24</v>
      </c>
      <c r="B59" s="29" t="s">
        <v>208</v>
      </c>
      <c r="C59" s="30">
        <v>3.0</v>
      </c>
      <c r="D59" s="29" t="s">
        <v>209</v>
      </c>
      <c r="E59" s="30">
        <v>1.0</v>
      </c>
      <c r="F59" s="33" t="s">
        <v>210</v>
      </c>
      <c r="G59" s="81">
        <v>2.0</v>
      </c>
      <c r="H59" s="29"/>
      <c r="I59" s="30"/>
      <c r="J59" s="29"/>
      <c r="K59" s="30"/>
      <c r="L59" s="29"/>
      <c r="M59" s="30"/>
      <c r="N59" s="28" t="s">
        <v>24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28" t="s">
        <v>24</v>
      </c>
      <c r="B60" s="29" t="s">
        <v>211</v>
      </c>
      <c r="C60" s="30">
        <v>1.0</v>
      </c>
      <c r="D60" s="29" t="s">
        <v>212</v>
      </c>
      <c r="E60" s="30">
        <v>1.0</v>
      </c>
      <c r="F60" s="33" t="s">
        <v>213</v>
      </c>
      <c r="G60" s="34">
        <v>1.0</v>
      </c>
      <c r="H60" s="29" t="s">
        <v>214</v>
      </c>
      <c r="I60" s="30">
        <v>1.0</v>
      </c>
      <c r="J60" s="29"/>
      <c r="K60" s="30"/>
      <c r="L60" s="29"/>
      <c r="M60" s="30"/>
      <c r="N60" s="28" t="s">
        <v>24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28" t="s">
        <v>24</v>
      </c>
      <c r="B61" s="29" t="s">
        <v>215</v>
      </c>
      <c r="C61" s="30">
        <v>1.0</v>
      </c>
      <c r="D61" s="33" t="s">
        <v>216</v>
      </c>
      <c r="E61" s="34">
        <v>12.0</v>
      </c>
      <c r="F61" s="29"/>
      <c r="G61" s="30"/>
      <c r="H61" s="29"/>
      <c r="I61" s="30"/>
      <c r="J61" s="29"/>
      <c r="K61" s="30"/>
      <c r="L61" s="29"/>
      <c r="M61" s="30"/>
      <c r="N61" s="28" t="s">
        <v>24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28" t="s">
        <v>24</v>
      </c>
      <c r="B62" s="29"/>
      <c r="C62" s="30"/>
      <c r="D62" s="33" t="s">
        <v>217</v>
      </c>
      <c r="E62" s="34">
        <v>11.0</v>
      </c>
      <c r="F62" s="29"/>
      <c r="G62" s="30"/>
      <c r="H62" s="29"/>
      <c r="I62" s="30"/>
      <c r="J62" s="29"/>
      <c r="K62" s="30"/>
      <c r="L62" s="29"/>
      <c r="M62" s="30"/>
      <c r="N62" s="28" t="s">
        <v>24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35" t="s">
        <v>63</v>
      </c>
      <c r="B63" s="38" t="s">
        <v>218</v>
      </c>
      <c r="C63" s="39">
        <v>30.0</v>
      </c>
      <c r="D63" s="36" t="s">
        <v>219</v>
      </c>
      <c r="E63" s="37">
        <v>43.0</v>
      </c>
      <c r="F63" s="36" t="s">
        <v>220</v>
      </c>
      <c r="G63" s="37">
        <v>16.0</v>
      </c>
      <c r="H63" s="36" t="s">
        <v>221</v>
      </c>
      <c r="I63" s="37">
        <v>19.0</v>
      </c>
      <c r="J63" s="36"/>
      <c r="K63" s="37"/>
      <c r="L63" s="36"/>
      <c r="M63" s="37"/>
      <c r="N63" s="35" t="s">
        <v>63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35" t="s">
        <v>63</v>
      </c>
      <c r="B64" s="36" t="s">
        <v>222</v>
      </c>
      <c r="C64" s="37">
        <v>22.0</v>
      </c>
      <c r="D64" s="36" t="s">
        <v>223</v>
      </c>
      <c r="E64" s="37">
        <v>40.0</v>
      </c>
      <c r="F64" s="36" t="s">
        <v>224</v>
      </c>
      <c r="G64" s="37">
        <v>11.0</v>
      </c>
      <c r="H64" s="36" t="s">
        <v>225</v>
      </c>
      <c r="I64" s="37">
        <v>17.0</v>
      </c>
      <c r="J64" s="36"/>
      <c r="K64" s="37"/>
      <c r="L64" s="36"/>
      <c r="M64" s="37"/>
      <c r="N64" s="35" t="s">
        <v>63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35" t="s">
        <v>63</v>
      </c>
      <c r="B65" s="36" t="s">
        <v>226</v>
      </c>
      <c r="C65" s="37">
        <v>14.0</v>
      </c>
      <c r="D65" s="36" t="s">
        <v>227</v>
      </c>
      <c r="E65" s="37">
        <v>15.0</v>
      </c>
      <c r="F65" s="33" t="s">
        <v>228</v>
      </c>
      <c r="G65" s="34">
        <v>14.0</v>
      </c>
      <c r="H65" s="36" t="s">
        <v>229</v>
      </c>
      <c r="I65" s="37">
        <v>13.0</v>
      </c>
      <c r="J65" s="36"/>
      <c r="K65" s="37"/>
      <c r="L65" s="36"/>
      <c r="M65" s="37"/>
      <c r="N65" s="35" t="s">
        <v>63</v>
      </c>
      <c r="O65" s="1"/>
      <c r="P65" s="8">
        <v>7.0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35" t="s">
        <v>63</v>
      </c>
      <c r="B66" s="36"/>
      <c r="C66" s="37"/>
      <c r="D66" s="36" t="s">
        <v>230</v>
      </c>
      <c r="E66" s="37">
        <v>14.0</v>
      </c>
      <c r="F66" s="36" t="s">
        <v>231</v>
      </c>
      <c r="G66" s="37">
        <v>6.0</v>
      </c>
      <c r="H66" s="36" t="s">
        <v>232</v>
      </c>
      <c r="I66" s="37">
        <v>1.0</v>
      </c>
      <c r="J66" s="36" t="s">
        <v>129</v>
      </c>
      <c r="K66" s="37" t="s">
        <v>129</v>
      </c>
      <c r="L66" s="36" t="s">
        <v>129</v>
      </c>
      <c r="M66" s="37" t="s">
        <v>129</v>
      </c>
      <c r="N66" s="35" t="s">
        <v>63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35" t="s">
        <v>63</v>
      </c>
      <c r="B67" s="36" t="s">
        <v>233</v>
      </c>
      <c r="C67" s="37">
        <v>1.0</v>
      </c>
      <c r="D67" s="36" t="s">
        <v>234</v>
      </c>
      <c r="E67" s="37">
        <v>3.0</v>
      </c>
      <c r="F67" s="40" t="s">
        <v>235</v>
      </c>
      <c r="G67" s="41">
        <v>18.0</v>
      </c>
      <c r="H67" s="36" t="s">
        <v>236</v>
      </c>
      <c r="I67" s="37">
        <v>1.0</v>
      </c>
      <c r="J67" s="36"/>
      <c r="K67" s="37"/>
      <c r="L67" s="36"/>
      <c r="M67" s="37"/>
      <c r="N67" s="35" t="s">
        <v>63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35" t="s">
        <v>63</v>
      </c>
      <c r="B68" s="36" t="s">
        <v>237</v>
      </c>
      <c r="C68" s="37">
        <v>1.0</v>
      </c>
      <c r="D68" s="36" t="s">
        <v>238</v>
      </c>
      <c r="E68" s="37">
        <v>1.0</v>
      </c>
      <c r="F68" s="40" t="s">
        <v>239</v>
      </c>
      <c r="G68" s="41">
        <v>18.0</v>
      </c>
      <c r="H68" s="36" t="s">
        <v>240</v>
      </c>
      <c r="I68" s="37">
        <v>1.0</v>
      </c>
      <c r="J68" s="36"/>
      <c r="K68" s="37"/>
      <c r="L68" s="36"/>
      <c r="M68" s="37"/>
      <c r="N68" s="35" t="s">
        <v>63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5" t="s">
        <v>63</v>
      </c>
      <c r="B69" s="36" t="s">
        <v>241</v>
      </c>
      <c r="C69" s="37">
        <v>1.0</v>
      </c>
      <c r="D69" s="36"/>
      <c r="E69" s="37"/>
      <c r="F69" s="82" t="s">
        <v>242</v>
      </c>
      <c r="G69" s="82">
        <v>5.0</v>
      </c>
      <c r="H69" s="40" t="s">
        <v>243</v>
      </c>
      <c r="I69" s="41">
        <v>11.0</v>
      </c>
      <c r="J69" s="36"/>
      <c r="K69" s="37"/>
      <c r="L69" s="36"/>
      <c r="M69" s="37"/>
      <c r="N69" s="35" t="s">
        <v>63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35" t="s">
        <v>63</v>
      </c>
      <c r="B70" s="36" t="s">
        <v>244</v>
      </c>
      <c r="C70" s="37">
        <v>1.0</v>
      </c>
      <c r="D70" s="36" t="s">
        <v>245</v>
      </c>
      <c r="E70" s="37">
        <v>1.0</v>
      </c>
      <c r="F70" s="36"/>
      <c r="G70" s="37"/>
      <c r="H70" s="40" t="s">
        <v>246</v>
      </c>
      <c r="I70" s="41">
        <v>13.0</v>
      </c>
      <c r="J70" s="36"/>
      <c r="K70" s="37"/>
      <c r="L70" s="36"/>
      <c r="M70" s="37"/>
      <c r="N70" s="35" t="s">
        <v>63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35" t="s">
        <v>63</v>
      </c>
      <c r="B71" s="36"/>
      <c r="C71" s="37"/>
      <c r="D71" s="36"/>
      <c r="E71" s="37"/>
      <c r="F71" s="36" t="s">
        <v>247</v>
      </c>
      <c r="G71" s="37">
        <v>1.0</v>
      </c>
      <c r="H71" s="40" t="s">
        <v>145</v>
      </c>
      <c r="I71" s="83">
        <v>1.0</v>
      </c>
      <c r="J71" s="36"/>
      <c r="K71" s="37"/>
      <c r="L71" s="36"/>
      <c r="M71" s="37"/>
      <c r="N71" s="35" t="s">
        <v>63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43" t="s">
        <v>111</v>
      </c>
      <c r="B72" s="44" t="s">
        <v>248</v>
      </c>
      <c r="C72" s="45">
        <v>10.0</v>
      </c>
      <c r="D72" s="44" t="s">
        <v>249</v>
      </c>
      <c r="E72" s="45">
        <v>3.0</v>
      </c>
      <c r="F72" s="44" t="s">
        <v>250</v>
      </c>
      <c r="G72" s="45">
        <v>4.0</v>
      </c>
      <c r="H72" s="44" t="s">
        <v>251</v>
      </c>
      <c r="I72" s="45">
        <v>15.0</v>
      </c>
      <c r="J72" s="44"/>
      <c r="K72" s="45"/>
      <c r="L72" s="44"/>
      <c r="M72" s="45"/>
      <c r="N72" s="43" t="s">
        <v>111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43" t="s">
        <v>111</v>
      </c>
      <c r="B73" s="44" t="s">
        <v>252</v>
      </c>
      <c r="C73" s="45">
        <v>3.0</v>
      </c>
      <c r="D73" s="46" t="s">
        <v>253</v>
      </c>
      <c r="E73" s="47">
        <v>15.0</v>
      </c>
      <c r="F73" s="44" t="s">
        <v>254</v>
      </c>
      <c r="G73" s="45">
        <v>1.0</v>
      </c>
      <c r="H73" s="46" t="s">
        <v>162</v>
      </c>
      <c r="I73" s="47">
        <v>1.0</v>
      </c>
      <c r="J73" s="44" t="s">
        <v>129</v>
      </c>
      <c r="K73" s="45" t="s">
        <v>129</v>
      </c>
      <c r="L73" s="44"/>
      <c r="M73" s="45"/>
      <c r="N73" s="43" t="s">
        <v>111</v>
      </c>
      <c r="O73" s="1"/>
      <c r="P73" s="8">
        <v>2.0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43" t="s">
        <v>111</v>
      </c>
      <c r="B74" s="44" t="s">
        <v>255</v>
      </c>
      <c r="C74" s="45">
        <v>1.0</v>
      </c>
      <c r="D74" s="44" t="s">
        <v>256</v>
      </c>
      <c r="E74" s="45">
        <v>1.0</v>
      </c>
      <c r="F74" s="44"/>
      <c r="G74" s="45"/>
      <c r="H74" s="44"/>
      <c r="I74" s="45"/>
      <c r="J74" s="44"/>
      <c r="K74" s="45"/>
      <c r="L74" s="44"/>
      <c r="M74" s="45"/>
      <c r="N74" s="43" t="s">
        <v>111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43" t="s">
        <v>111</v>
      </c>
      <c r="B75" s="44" t="s">
        <v>257</v>
      </c>
      <c r="C75" s="45">
        <v>1.0</v>
      </c>
      <c r="D75" s="44"/>
      <c r="E75" s="45"/>
      <c r="F75" s="44"/>
      <c r="G75" s="45"/>
      <c r="H75" s="44"/>
      <c r="I75" s="45"/>
      <c r="J75" s="44"/>
      <c r="K75" s="45"/>
      <c r="L75" s="44"/>
      <c r="M75" s="45"/>
      <c r="N75" s="4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49" t="s">
        <v>124</v>
      </c>
      <c r="B76" s="50" t="s">
        <v>258</v>
      </c>
      <c r="C76" s="51">
        <v>1.0</v>
      </c>
      <c r="D76" s="50" t="s">
        <v>259</v>
      </c>
      <c r="E76" s="51">
        <v>2.0</v>
      </c>
      <c r="F76" s="50"/>
      <c r="G76" s="51"/>
      <c r="H76" s="50"/>
      <c r="I76" s="51"/>
      <c r="J76" s="50"/>
      <c r="K76" s="51"/>
      <c r="L76" s="50"/>
      <c r="M76" s="51"/>
      <c r="N76" s="49" t="s">
        <v>124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49" t="s">
        <v>124</v>
      </c>
      <c r="B77" s="50"/>
      <c r="C77" s="51"/>
      <c r="D77" s="50" t="s">
        <v>260</v>
      </c>
      <c r="E77" s="51">
        <v>1.0</v>
      </c>
      <c r="F77" s="50"/>
      <c r="G77" s="51" t="s">
        <v>129</v>
      </c>
      <c r="H77" s="50"/>
      <c r="I77" s="51"/>
      <c r="J77" s="50"/>
      <c r="K77" s="51"/>
      <c r="L77" s="50"/>
      <c r="M77" s="51"/>
      <c r="N77" s="49" t="s">
        <v>124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54" t="s">
        <v>133</v>
      </c>
      <c r="B78" s="55" t="s">
        <v>261</v>
      </c>
      <c r="C78" s="56">
        <v>1.0</v>
      </c>
      <c r="D78" s="55" t="s">
        <v>262</v>
      </c>
      <c r="E78" s="56">
        <v>1.0</v>
      </c>
      <c r="F78" s="55" t="s">
        <v>263</v>
      </c>
      <c r="G78" s="56">
        <v>1.0</v>
      </c>
      <c r="H78" s="55" t="s">
        <v>264</v>
      </c>
      <c r="I78" s="56">
        <v>1.0</v>
      </c>
      <c r="J78" s="55"/>
      <c r="K78" s="56"/>
      <c r="L78" s="55"/>
      <c r="M78" s="56"/>
      <c r="N78" s="54" t="s">
        <v>133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54" t="s">
        <v>133</v>
      </c>
      <c r="B79" s="55"/>
      <c r="C79" s="56"/>
      <c r="D79" s="55"/>
      <c r="E79" s="56"/>
      <c r="F79" s="55" t="s">
        <v>129</v>
      </c>
      <c r="G79" s="56" t="s">
        <v>129</v>
      </c>
      <c r="H79" s="55"/>
      <c r="I79" s="56"/>
      <c r="J79" s="55" t="s">
        <v>129</v>
      </c>
      <c r="K79" s="56" t="s">
        <v>129</v>
      </c>
      <c r="L79" s="55" t="s">
        <v>129</v>
      </c>
      <c r="M79" s="56" t="s">
        <v>129</v>
      </c>
      <c r="N79" s="54" t="s">
        <v>133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57" t="s">
        <v>141</v>
      </c>
      <c r="B80" s="60" t="s">
        <v>265</v>
      </c>
      <c r="C80" s="61">
        <v>2.0</v>
      </c>
      <c r="D80" s="58" t="s">
        <v>129</v>
      </c>
      <c r="E80" s="59" t="s">
        <v>129</v>
      </c>
      <c r="F80" s="77" t="s">
        <v>266</v>
      </c>
      <c r="G80" s="84">
        <v>3.0</v>
      </c>
      <c r="H80" s="58" t="s">
        <v>267</v>
      </c>
      <c r="I80" s="61">
        <v>5.0</v>
      </c>
      <c r="J80" s="58" t="s">
        <v>129</v>
      </c>
      <c r="K80" s="59" t="s">
        <v>129</v>
      </c>
      <c r="L80" s="85" t="s">
        <v>268</v>
      </c>
      <c r="M80" s="86">
        <v>5.0</v>
      </c>
      <c r="N80" s="57" t="s">
        <v>141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57" t="s">
        <v>141</v>
      </c>
      <c r="B81" s="87" t="s">
        <v>269</v>
      </c>
      <c r="C81" s="65">
        <v>2.0</v>
      </c>
      <c r="D81" s="69"/>
      <c r="E81" s="70"/>
      <c r="F81" s="58" t="s">
        <v>270</v>
      </c>
      <c r="G81" s="59">
        <v>1.0</v>
      </c>
      <c r="H81" s="69" t="s">
        <v>271</v>
      </c>
      <c r="I81" s="65">
        <v>2.0</v>
      </c>
      <c r="J81" s="69"/>
      <c r="K81" s="70"/>
      <c r="L81" s="88"/>
      <c r="M81" s="89"/>
      <c r="N81" s="57" t="s">
        <v>141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57" t="s">
        <v>141</v>
      </c>
      <c r="B82" s="69"/>
      <c r="C82" s="70"/>
      <c r="D82" s="69"/>
      <c r="E82" s="70"/>
      <c r="F82" s="58" t="s">
        <v>272</v>
      </c>
      <c r="G82" s="59">
        <v>1.0</v>
      </c>
      <c r="H82" s="69" t="s">
        <v>273</v>
      </c>
      <c r="I82" s="70">
        <v>1.0</v>
      </c>
      <c r="J82" s="69"/>
      <c r="K82" s="70"/>
      <c r="L82" s="88"/>
      <c r="M82" s="89"/>
      <c r="N82" s="57" t="s">
        <v>141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90"/>
      <c r="B83" s="69"/>
      <c r="C83" s="70"/>
      <c r="D83" s="69"/>
      <c r="E83" s="70"/>
      <c r="F83" s="58" t="s">
        <v>274</v>
      </c>
      <c r="G83" s="59">
        <v>1.0</v>
      </c>
      <c r="H83" s="69" t="s">
        <v>275</v>
      </c>
      <c r="I83" s="70">
        <v>1.0</v>
      </c>
      <c r="J83" s="69"/>
      <c r="K83" s="70"/>
      <c r="L83" s="88"/>
      <c r="M83" s="89"/>
      <c r="N83" s="9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90"/>
      <c r="B84" s="69"/>
      <c r="C84" s="70"/>
      <c r="D84" s="69"/>
      <c r="E84" s="70"/>
      <c r="F84" s="58" t="s">
        <v>276</v>
      </c>
      <c r="G84" s="61">
        <v>1.0</v>
      </c>
      <c r="H84" s="69" t="s">
        <v>277</v>
      </c>
      <c r="I84" s="70">
        <v>1.0</v>
      </c>
      <c r="J84" s="69"/>
      <c r="K84" s="70"/>
      <c r="L84" s="88"/>
      <c r="M84" s="89"/>
      <c r="N84" s="9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90"/>
      <c r="B85" s="69"/>
      <c r="C85" s="70"/>
      <c r="D85" s="69"/>
      <c r="E85" s="70"/>
      <c r="F85" s="69"/>
      <c r="G85" s="70"/>
      <c r="H85" s="69" t="s">
        <v>278</v>
      </c>
      <c r="I85" s="70">
        <v>1.0</v>
      </c>
      <c r="J85" s="69"/>
      <c r="K85" s="70"/>
      <c r="L85" s="88"/>
      <c r="M85" s="89"/>
      <c r="N85" s="9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90"/>
      <c r="B86" s="69"/>
      <c r="C86" s="70"/>
      <c r="D86" s="69"/>
      <c r="E86" s="70"/>
      <c r="F86" s="69"/>
      <c r="G86" s="70"/>
      <c r="H86" s="69" t="s">
        <v>279</v>
      </c>
      <c r="I86" s="70">
        <v>1.0</v>
      </c>
      <c r="J86" s="69"/>
      <c r="K86" s="70"/>
      <c r="L86" s="88"/>
      <c r="M86" s="89"/>
      <c r="N86" s="9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90"/>
      <c r="B87" s="69"/>
      <c r="C87" s="70"/>
      <c r="D87" s="69"/>
      <c r="E87" s="70"/>
      <c r="F87" s="69"/>
      <c r="G87" s="70"/>
      <c r="H87" s="69" t="s">
        <v>118</v>
      </c>
      <c r="I87" s="70">
        <v>1.0</v>
      </c>
      <c r="J87" s="69"/>
      <c r="K87" s="70"/>
      <c r="L87" s="88"/>
      <c r="M87" s="89"/>
      <c r="N87" s="9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90"/>
      <c r="B88" s="69"/>
      <c r="C88" s="70"/>
      <c r="D88" s="69"/>
      <c r="E88" s="70"/>
      <c r="F88" s="69"/>
      <c r="G88" s="70"/>
      <c r="H88" s="69" t="s">
        <v>280</v>
      </c>
      <c r="I88" s="70">
        <v>1.0</v>
      </c>
      <c r="J88" s="69"/>
      <c r="K88" s="70"/>
      <c r="L88" s="88"/>
      <c r="M88" s="89"/>
      <c r="N88" s="9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90"/>
      <c r="B89" s="69"/>
      <c r="C89" s="70"/>
      <c r="D89" s="69"/>
      <c r="E89" s="70"/>
      <c r="F89" s="69"/>
      <c r="G89" s="70"/>
      <c r="H89" s="36" t="s">
        <v>281</v>
      </c>
      <c r="I89" s="37">
        <v>1.0</v>
      </c>
      <c r="J89" s="69"/>
      <c r="K89" s="70"/>
      <c r="L89" s="88"/>
      <c r="M89" s="89"/>
      <c r="N89" s="9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6.0" customHeight="1">
      <c r="A90" s="76"/>
      <c r="B90" s="75"/>
      <c r="C90" s="76"/>
      <c r="D90" s="75"/>
      <c r="E90" s="76"/>
      <c r="F90" s="75"/>
      <c r="G90" s="76"/>
      <c r="H90" s="75"/>
      <c r="I90" s="76"/>
      <c r="J90" s="75"/>
      <c r="K90" s="76"/>
      <c r="L90" s="91"/>
      <c r="M90" s="92"/>
      <c r="N90" s="7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74"/>
      <c r="B91" s="73" t="s">
        <v>176</v>
      </c>
      <c r="C91" s="74">
        <f>SUM(C51:C88)</f>
        <v>199</v>
      </c>
      <c r="D91" s="73" t="s">
        <v>176</v>
      </c>
      <c r="E91" s="74">
        <f>SUM(E51:E88)</f>
        <v>233</v>
      </c>
      <c r="F91" s="73" t="s">
        <v>176</v>
      </c>
      <c r="G91" s="74">
        <f>SUM(G51:G88)</f>
        <v>224</v>
      </c>
      <c r="H91" s="73" t="s">
        <v>176</v>
      </c>
      <c r="I91" s="74">
        <f>SUM(I51:I88)</f>
        <v>228</v>
      </c>
      <c r="J91" s="73" t="s">
        <v>176</v>
      </c>
      <c r="K91" s="74">
        <f>SUM(K51:K80)</f>
        <v>0</v>
      </c>
      <c r="L91" s="73" t="s">
        <v>176</v>
      </c>
      <c r="M91" s="74">
        <f>SUM(M51:M80)</f>
        <v>5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74"/>
      <c r="B92" s="73" t="s">
        <v>177</v>
      </c>
      <c r="C92" s="74">
        <v>0.0</v>
      </c>
      <c r="D92" s="73" t="s">
        <v>177</v>
      </c>
      <c r="E92" s="74">
        <v>0.0</v>
      </c>
      <c r="F92" s="73" t="s">
        <v>177</v>
      </c>
      <c r="G92" s="74">
        <v>0.0</v>
      </c>
      <c r="H92" s="73" t="s">
        <v>177</v>
      </c>
      <c r="I92" s="74">
        <v>0.0</v>
      </c>
      <c r="J92" s="73" t="s">
        <v>177</v>
      </c>
      <c r="K92" s="74">
        <v>0.0</v>
      </c>
      <c r="L92" s="73" t="s">
        <v>177</v>
      </c>
      <c r="M92" s="74">
        <v>0.0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74"/>
      <c r="B93" s="73" t="s">
        <v>178</v>
      </c>
      <c r="C93" s="74">
        <f>SUM(C91+C92)</f>
        <v>199</v>
      </c>
      <c r="D93" s="73" t="s">
        <v>178</v>
      </c>
      <c r="E93" s="74">
        <f>SUM(E91+E92)</f>
        <v>233</v>
      </c>
      <c r="F93" s="73" t="s">
        <v>178</v>
      </c>
      <c r="G93" s="74">
        <f>SUM(G91+G92)</f>
        <v>224</v>
      </c>
      <c r="H93" s="73" t="s">
        <v>178</v>
      </c>
      <c r="I93" s="74">
        <f>SUM(I91+I92)</f>
        <v>228</v>
      </c>
      <c r="J93" s="73" t="s">
        <v>178</v>
      </c>
      <c r="K93" s="74">
        <f>SUM(K91+K92)</f>
        <v>0</v>
      </c>
      <c r="L93" s="73" t="s">
        <v>178</v>
      </c>
      <c r="M93" s="74">
        <f>SUM(M91+M92)</f>
        <v>5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75" t="s">
        <v>179</v>
      </c>
      <c r="C94" s="76">
        <f>SUM(250-C93)</f>
        <v>51</v>
      </c>
      <c r="D94" s="75" t="s">
        <v>179</v>
      </c>
      <c r="E94" s="76">
        <f>SUM(250-E93)</f>
        <v>17</v>
      </c>
      <c r="F94" s="75" t="s">
        <v>179</v>
      </c>
      <c r="G94" s="76">
        <f>SUM(250-G93)</f>
        <v>26</v>
      </c>
      <c r="H94" s="75" t="s">
        <v>179</v>
      </c>
      <c r="I94" s="76">
        <f>SUM(250-I93)</f>
        <v>22</v>
      </c>
      <c r="J94" s="75" t="s">
        <v>179</v>
      </c>
      <c r="K94" s="76">
        <f>SUM(200-K93)</f>
        <v>200</v>
      </c>
      <c r="L94" s="75" t="s">
        <v>179</v>
      </c>
      <c r="M94" s="76">
        <f>SUM(200-M93)</f>
        <v>195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8" t="s">
        <v>282</v>
      </c>
      <c r="C98" s="1"/>
      <c r="D98" s="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8" t="s">
        <v>283</v>
      </c>
      <c r="C99" s="1"/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8" t="s">
        <v>284</v>
      </c>
      <c r="C100" s="1"/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8" t="s">
        <v>285</v>
      </c>
      <c r="C101" s="1"/>
      <c r="D101" s="8"/>
      <c r="E101" s="1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8" t="s">
        <v>286</v>
      </c>
      <c r="C102" s="1"/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8" t="s">
        <v>287</v>
      </c>
      <c r="C103" s="1"/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8" t="s">
        <v>288</v>
      </c>
      <c r="C104" s="1"/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8" t="s">
        <v>289</v>
      </c>
      <c r="C105" s="1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8" t="s">
        <v>290</v>
      </c>
      <c r="C106" s="1"/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8" t="s">
        <v>291</v>
      </c>
      <c r="C107" s="1"/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8" t="s">
        <v>292</v>
      </c>
      <c r="C110" s="8"/>
      <c r="D110" s="8"/>
      <c r="E110" s="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8"/>
      <c r="C111" s="8"/>
      <c r="D111" s="8"/>
      <c r="E111" s="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8"/>
      <c r="C112" s="8"/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93" t="s">
        <v>293</v>
      </c>
      <c r="C113" s="94" t="s">
        <v>294</v>
      </c>
      <c r="D113" s="94" t="s">
        <v>7</v>
      </c>
      <c r="E113" s="94" t="s">
        <v>8</v>
      </c>
      <c r="F113" s="95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96" t="s">
        <v>282</v>
      </c>
      <c r="C114" s="97">
        <v>1.0</v>
      </c>
      <c r="D114" s="98" t="s">
        <v>228</v>
      </c>
      <c r="E114" s="99">
        <v>14.0</v>
      </c>
      <c r="F114" s="100" t="s">
        <v>286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96" t="s">
        <v>283</v>
      </c>
      <c r="C115" s="97">
        <v>2.0</v>
      </c>
      <c r="D115" s="101" t="s">
        <v>296</v>
      </c>
      <c r="E115" s="99">
        <v>14.0</v>
      </c>
      <c r="F115" s="100" t="s">
        <v>282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96" t="s">
        <v>284</v>
      </c>
      <c r="C116" s="97">
        <v>3.0</v>
      </c>
      <c r="D116" s="98" t="s">
        <v>243</v>
      </c>
      <c r="E116" s="98">
        <v>11.0</v>
      </c>
      <c r="F116" s="100" t="s">
        <v>283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96" t="s">
        <v>285</v>
      </c>
      <c r="C117" s="97">
        <v>4.0</v>
      </c>
      <c r="D117" s="102" t="s">
        <v>16</v>
      </c>
      <c r="E117" s="103">
        <v>15.0</v>
      </c>
      <c r="F117" s="100" t="s">
        <v>285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96" t="s">
        <v>286</v>
      </c>
      <c r="C118" s="97">
        <v>5.0</v>
      </c>
      <c r="D118" s="102" t="s">
        <v>297</v>
      </c>
      <c r="E118" s="103">
        <v>13.0</v>
      </c>
      <c r="F118" s="100" t="s">
        <v>283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96" t="s">
        <v>287</v>
      </c>
      <c r="C119" s="104">
        <v>6.0</v>
      </c>
      <c r="D119" s="102" t="s">
        <v>60</v>
      </c>
      <c r="E119" s="98">
        <v>12.0</v>
      </c>
      <c r="F119" s="100" t="s">
        <v>284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05" t="s">
        <v>288</v>
      </c>
      <c r="C120" s="104">
        <v>7.0</v>
      </c>
      <c r="D120" s="98" t="s">
        <v>298</v>
      </c>
      <c r="E120" s="98">
        <v>28.0</v>
      </c>
      <c r="F120" s="100" t="s">
        <v>289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05" t="s">
        <v>289</v>
      </c>
      <c r="C121" s="104">
        <v>8.0</v>
      </c>
      <c r="D121" s="106" t="s">
        <v>299</v>
      </c>
      <c r="E121" s="106">
        <v>29.0</v>
      </c>
      <c r="F121" s="100" t="s">
        <v>289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05" t="s">
        <v>290</v>
      </c>
      <c r="C122" s="104">
        <v>9.0</v>
      </c>
      <c r="D122" s="106" t="s">
        <v>216</v>
      </c>
      <c r="E122" s="106">
        <v>12.0</v>
      </c>
      <c r="F122" s="100" t="s">
        <v>290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05" t="s">
        <v>291</v>
      </c>
      <c r="C123" s="106">
        <v>10.0</v>
      </c>
      <c r="D123" s="106" t="s">
        <v>300</v>
      </c>
      <c r="E123" s="106">
        <v>15.0</v>
      </c>
      <c r="F123" s="100" t="s">
        <v>290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07" t="s">
        <v>282</v>
      </c>
      <c r="C124" s="8">
        <v>11.0</v>
      </c>
      <c r="D124" s="8" t="s">
        <v>47</v>
      </c>
      <c r="E124" s="8">
        <v>9.0</v>
      </c>
      <c r="F124" s="8" t="s">
        <v>291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07" t="s">
        <v>283</v>
      </c>
      <c r="C125" s="8">
        <v>12.0</v>
      </c>
      <c r="D125" s="8" t="s">
        <v>204</v>
      </c>
      <c r="E125" s="8">
        <v>4.0</v>
      </c>
      <c r="F125" s="8" t="s">
        <v>288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07" t="s">
        <v>284</v>
      </c>
      <c r="C126" s="8">
        <v>13.0</v>
      </c>
      <c r="D126" s="8" t="s">
        <v>71</v>
      </c>
      <c r="E126" s="8">
        <v>18.0</v>
      </c>
      <c r="F126" s="8" t="s">
        <v>282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07" t="s">
        <v>285</v>
      </c>
      <c r="C127" s="8">
        <v>14.0</v>
      </c>
      <c r="D127" s="8" t="s">
        <v>121</v>
      </c>
      <c r="E127" s="8">
        <v>6.0</v>
      </c>
      <c r="F127" s="8" t="s">
        <v>284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07" t="s">
        <v>286</v>
      </c>
      <c r="C128" s="8">
        <v>15.0</v>
      </c>
      <c r="D128" s="8" t="s">
        <v>301</v>
      </c>
      <c r="E128" s="8">
        <v>18.0</v>
      </c>
      <c r="F128" s="8" t="s">
        <v>286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07" t="s">
        <v>287</v>
      </c>
      <c r="C129" s="8">
        <v>16.0</v>
      </c>
      <c r="D129" s="8" t="s">
        <v>203</v>
      </c>
      <c r="E129" s="8">
        <v>8.0</v>
      </c>
      <c r="F129" s="8" t="s">
        <v>283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08" t="s">
        <v>288</v>
      </c>
      <c r="C130" s="8">
        <v>17.0</v>
      </c>
      <c r="D130" s="8" t="s">
        <v>302</v>
      </c>
      <c r="E130" s="8">
        <v>6.0</v>
      </c>
      <c r="F130" s="8" t="s">
        <v>287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08" t="s">
        <v>289</v>
      </c>
      <c r="C131" s="8">
        <v>18.0</v>
      </c>
      <c r="D131" s="8" t="s">
        <v>96</v>
      </c>
      <c r="E131" s="8">
        <v>20.0</v>
      </c>
      <c r="F131" s="8" t="s">
        <v>289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08" t="s">
        <v>290</v>
      </c>
      <c r="C132" s="8">
        <v>19.0</v>
      </c>
      <c r="D132" s="8" t="s">
        <v>217</v>
      </c>
      <c r="E132" s="8">
        <v>11.0</v>
      </c>
      <c r="F132" s="8" t="s">
        <v>290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08" t="s">
        <v>291</v>
      </c>
      <c r="C133" s="8">
        <v>20.0</v>
      </c>
      <c r="D133" s="8" t="s">
        <v>303</v>
      </c>
      <c r="E133" s="8">
        <v>18.0</v>
      </c>
      <c r="F133" s="8" t="s">
        <v>286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09" t="s">
        <v>282</v>
      </c>
      <c r="C134" s="100">
        <v>21.0</v>
      </c>
      <c r="D134" s="100" t="s">
        <v>49</v>
      </c>
      <c r="E134" s="100">
        <v>4.0</v>
      </c>
      <c r="F134" s="100" t="s">
        <v>282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10" t="s">
        <v>283</v>
      </c>
      <c r="C135" s="100">
        <v>22.0</v>
      </c>
      <c r="D135" s="100" t="s">
        <v>102</v>
      </c>
      <c r="E135" s="100">
        <v>7.0</v>
      </c>
      <c r="F135" s="100" t="s">
        <v>289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10" t="s">
        <v>284</v>
      </c>
      <c r="C136" s="100">
        <v>23.0</v>
      </c>
      <c r="D136" s="100" t="s">
        <v>304</v>
      </c>
      <c r="E136" s="100">
        <v>7.0</v>
      </c>
      <c r="F136" s="100" t="s">
        <v>284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10" t="s">
        <v>285</v>
      </c>
      <c r="C137" s="100">
        <v>24.0</v>
      </c>
      <c r="D137" s="100" t="s">
        <v>128</v>
      </c>
      <c r="E137" s="100">
        <v>5.0</v>
      </c>
      <c r="F137" s="100" t="s">
        <v>128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10" t="s">
        <v>286</v>
      </c>
      <c r="C138" s="100">
        <v>25.0</v>
      </c>
      <c r="D138" s="100" t="s">
        <v>242</v>
      </c>
      <c r="E138" s="100">
        <v>5.0</v>
      </c>
      <c r="F138" s="100" t="s">
        <v>286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10" t="s">
        <v>287</v>
      </c>
      <c r="C139" s="100">
        <v>26.0</v>
      </c>
      <c r="D139" s="100" t="s">
        <v>305</v>
      </c>
      <c r="E139" s="100">
        <v>5.0</v>
      </c>
      <c r="F139" s="100" t="s">
        <v>289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10" t="s">
        <v>288</v>
      </c>
      <c r="C140" s="100">
        <v>27.0</v>
      </c>
      <c r="D140" s="100" t="s">
        <v>306</v>
      </c>
      <c r="E140" s="100">
        <v>5.0</v>
      </c>
      <c r="F140" s="100" t="s">
        <v>285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10" t="s">
        <v>289</v>
      </c>
      <c r="C141" s="100">
        <v>28.0</v>
      </c>
      <c r="D141" s="27"/>
      <c r="E141" s="27"/>
      <c r="F141" s="2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10" t="s">
        <v>290</v>
      </c>
      <c r="C142" s="100">
        <v>29.0</v>
      </c>
      <c r="D142" s="100" t="s">
        <v>307</v>
      </c>
      <c r="E142" s="27"/>
      <c r="F142" s="2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10" t="s">
        <v>291</v>
      </c>
      <c r="C143" s="100">
        <v>30.0</v>
      </c>
      <c r="D143" s="27"/>
      <c r="E143" s="27"/>
      <c r="F143" s="2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11" t="s">
        <v>282</v>
      </c>
      <c r="C144" s="8">
        <v>31.0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12" t="s">
        <v>283</v>
      </c>
      <c r="C145" s="8">
        <v>32.0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12" t="s">
        <v>284</v>
      </c>
      <c r="C146" s="8">
        <v>33.0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12" t="s">
        <v>285</v>
      </c>
      <c r="C147" s="8">
        <v>34.0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12" t="s">
        <v>286</v>
      </c>
      <c r="C148" s="8">
        <v>35.0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12" t="s">
        <v>287</v>
      </c>
      <c r="C149" s="8">
        <v>36.0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12" t="s">
        <v>288</v>
      </c>
      <c r="C150" s="8">
        <v>37.0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12" t="s">
        <v>289</v>
      </c>
      <c r="C151" s="8">
        <v>38.0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12" t="s">
        <v>290</v>
      </c>
      <c r="C152" s="8">
        <v>39.0</v>
      </c>
      <c r="D152" s="100" t="s">
        <v>307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12" t="s">
        <v>291</v>
      </c>
      <c r="C153" s="8">
        <v>40.0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09" t="s">
        <v>282</v>
      </c>
      <c r="C154" s="100">
        <v>41.0</v>
      </c>
      <c r="D154" s="27"/>
      <c r="E154" s="27"/>
      <c r="F154" s="2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10" t="s">
        <v>283</v>
      </c>
      <c r="C155" s="100">
        <v>42.0</v>
      </c>
      <c r="D155" s="27"/>
      <c r="E155" s="27"/>
      <c r="F155" s="2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10" t="s">
        <v>284</v>
      </c>
      <c r="C156" s="100">
        <v>43.0</v>
      </c>
      <c r="D156" s="27"/>
      <c r="E156" s="27"/>
      <c r="F156" s="2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10" t="s">
        <v>285</v>
      </c>
      <c r="C157" s="100">
        <v>44.0</v>
      </c>
      <c r="D157" s="27"/>
      <c r="E157" s="27"/>
      <c r="F157" s="2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10" t="s">
        <v>286</v>
      </c>
      <c r="C158" s="100">
        <v>45.0</v>
      </c>
      <c r="D158" s="27"/>
      <c r="E158" s="27"/>
      <c r="F158" s="2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10" t="s">
        <v>287</v>
      </c>
      <c r="C159" s="100">
        <v>46.0</v>
      </c>
      <c r="D159" s="27"/>
      <c r="E159" s="27"/>
      <c r="F159" s="2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10" t="s">
        <v>288</v>
      </c>
      <c r="C160" s="100">
        <v>47.0</v>
      </c>
      <c r="D160" s="27"/>
      <c r="E160" s="27"/>
      <c r="F160" s="2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10" t="s">
        <v>289</v>
      </c>
      <c r="C161" s="100">
        <v>48.0</v>
      </c>
      <c r="D161" s="27"/>
      <c r="E161" s="27"/>
      <c r="F161" s="2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10" t="s">
        <v>290</v>
      </c>
      <c r="C162" s="100">
        <v>49.0</v>
      </c>
      <c r="D162" s="100" t="s">
        <v>307</v>
      </c>
      <c r="E162" s="27"/>
      <c r="F162" s="2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10" t="s">
        <v>291</v>
      </c>
      <c r="C163" s="100">
        <v>50.0</v>
      </c>
      <c r="D163" s="27"/>
      <c r="E163" s="27"/>
      <c r="F163" s="2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2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2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</sheetData>
  <printOptions horizontalCentered="1"/>
  <pageMargins bottom="0.25" footer="0.0" header="0.0" left="0.25" right="0.25" top="0.5"/>
  <pageSetup orientation="portrait"/>
  <headerFooter>
    <oddFooter>&amp;R  </oddFooter>
  </headerFooter>
  <rowBreaks count="1" manualBreakCount="1">
    <brk id="4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0</v>
      </c>
      <c r="B1" s="114"/>
      <c r="C1" s="115"/>
      <c r="D1" s="115"/>
      <c r="E1" s="115"/>
      <c r="F1" s="116"/>
    </row>
    <row r="2" ht="12.75" customHeight="1">
      <c r="A2" s="117" t="s">
        <v>7</v>
      </c>
      <c r="B2" s="118" t="s">
        <v>308</v>
      </c>
      <c r="C2" s="118" t="s">
        <v>309</v>
      </c>
      <c r="D2" s="118" t="s">
        <v>310</v>
      </c>
      <c r="E2" s="118" t="s">
        <v>311</v>
      </c>
      <c r="F2" s="119" t="s">
        <v>312</v>
      </c>
    </row>
    <row r="3" ht="12.75" customHeight="1">
      <c r="A3" s="120" t="s">
        <v>313</v>
      </c>
      <c r="B3" s="121" t="s">
        <v>9</v>
      </c>
      <c r="C3" s="121">
        <v>13.0</v>
      </c>
      <c r="D3" s="121">
        <v>2021.0</v>
      </c>
      <c r="E3" s="121" t="s">
        <v>314</v>
      </c>
      <c r="F3" s="122" t="s">
        <v>129</v>
      </c>
      <c r="G3" s="123" t="s">
        <v>129</v>
      </c>
    </row>
    <row r="4" ht="12.75" customHeight="1">
      <c r="A4" s="120" t="s">
        <v>16</v>
      </c>
      <c r="B4" s="121" t="s">
        <v>9</v>
      </c>
      <c r="C4" s="121">
        <v>15.0</v>
      </c>
      <c r="D4" s="121">
        <v>2022.0</v>
      </c>
      <c r="E4" s="124" t="s">
        <v>315</v>
      </c>
      <c r="F4" s="122"/>
      <c r="G4" s="123"/>
    </row>
    <row r="5" ht="12.75" customHeight="1">
      <c r="A5" s="125"/>
      <c r="B5" s="126"/>
      <c r="C5" s="126"/>
      <c r="D5" s="126"/>
      <c r="E5" s="126"/>
      <c r="F5" s="122"/>
      <c r="G5" s="123" t="s">
        <v>129</v>
      </c>
    </row>
    <row r="6" ht="12.75" customHeight="1">
      <c r="A6" s="127" t="s">
        <v>316</v>
      </c>
      <c r="B6" s="128" t="s">
        <v>24</v>
      </c>
      <c r="C6" s="128">
        <v>42.0</v>
      </c>
      <c r="D6" s="128">
        <v>2021.0</v>
      </c>
      <c r="E6" s="121" t="s">
        <v>314</v>
      </c>
      <c r="F6" s="122"/>
      <c r="G6" s="129" t="s">
        <v>129</v>
      </c>
    </row>
    <row r="7" ht="12.75" customHeight="1">
      <c r="A7" s="127" t="s">
        <v>317</v>
      </c>
      <c r="B7" s="128" t="s">
        <v>24</v>
      </c>
      <c r="C7" s="128">
        <v>12.0</v>
      </c>
      <c r="D7" s="128">
        <v>2021.0</v>
      </c>
      <c r="E7" s="121" t="s">
        <v>314</v>
      </c>
      <c r="F7" s="130"/>
      <c r="G7" s="123" t="s">
        <v>129</v>
      </c>
    </row>
    <row r="8" ht="12.75" customHeight="1">
      <c r="A8" s="127" t="s">
        <v>318</v>
      </c>
      <c r="B8" s="128" t="s">
        <v>24</v>
      </c>
      <c r="C8" s="128">
        <v>3.0</v>
      </c>
      <c r="D8" s="128">
        <v>2021.0</v>
      </c>
      <c r="E8" s="121" t="s">
        <v>314</v>
      </c>
      <c r="F8" s="131" t="s">
        <v>129</v>
      </c>
      <c r="G8" s="123" t="s">
        <v>319</v>
      </c>
    </row>
    <row r="9" ht="12.75" customHeight="1">
      <c r="A9" s="127" t="s">
        <v>320</v>
      </c>
      <c r="B9" s="128" t="s">
        <v>24</v>
      </c>
      <c r="C9" s="128">
        <v>7.0</v>
      </c>
      <c r="D9" s="128">
        <v>2021.0</v>
      </c>
      <c r="E9" s="121" t="s">
        <v>314</v>
      </c>
      <c r="F9" s="131"/>
      <c r="G9" s="129"/>
    </row>
    <row r="10" ht="12.75" customHeight="1">
      <c r="A10" s="127" t="s">
        <v>321</v>
      </c>
      <c r="B10" s="128" t="s">
        <v>24</v>
      </c>
      <c r="C10" s="128">
        <v>1.0</v>
      </c>
      <c r="D10" s="128">
        <v>2021.0</v>
      </c>
      <c r="E10" s="121" t="s">
        <v>314</v>
      </c>
      <c r="F10" s="131" t="s">
        <v>129</v>
      </c>
      <c r="G10" s="129" t="s">
        <v>129</v>
      </c>
    </row>
    <row r="11" ht="12.75" customHeight="1">
      <c r="A11" s="127" t="s">
        <v>42</v>
      </c>
      <c r="B11" s="128" t="s">
        <v>24</v>
      </c>
      <c r="C11" s="128">
        <v>3.0</v>
      </c>
      <c r="D11" s="128">
        <v>2021.0</v>
      </c>
      <c r="E11" s="121" t="s">
        <v>314</v>
      </c>
      <c r="F11" s="131"/>
    </row>
    <row r="12" ht="12.75" customHeight="1">
      <c r="A12" s="127" t="s">
        <v>322</v>
      </c>
      <c r="B12" s="128" t="s">
        <v>24</v>
      </c>
      <c r="C12" s="128">
        <v>2.0</v>
      </c>
      <c r="D12" s="128">
        <v>2022.0</v>
      </c>
      <c r="E12" s="124" t="s">
        <v>323</v>
      </c>
      <c r="F12" s="131"/>
    </row>
    <row r="13" ht="12.75" customHeight="1">
      <c r="A13" s="132"/>
      <c r="B13" s="133"/>
      <c r="C13" s="133"/>
      <c r="D13" s="133"/>
      <c r="E13" s="134"/>
      <c r="F13" s="131"/>
    </row>
    <row r="14" ht="12.75" customHeight="1">
      <c r="A14" s="135" t="s">
        <v>64</v>
      </c>
      <c r="B14" s="136" t="s">
        <v>63</v>
      </c>
      <c r="C14" s="136">
        <v>28.0</v>
      </c>
      <c r="D14" s="136">
        <v>2021.0</v>
      </c>
      <c r="E14" s="121" t="s">
        <v>314</v>
      </c>
      <c r="F14" s="131"/>
      <c r="G14" s="129" t="s">
        <v>129</v>
      </c>
    </row>
    <row r="15" ht="12.75" customHeight="1">
      <c r="A15" s="135" t="s">
        <v>324</v>
      </c>
      <c r="B15" s="136" t="s">
        <v>63</v>
      </c>
      <c r="C15" s="136">
        <v>2.0</v>
      </c>
      <c r="D15" s="136">
        <v>2021.0</v>
      </c>
      <c r="E15" s="121" t="s">
        <v>314</v>
      </c>
      <c r="F15" s="131"/>
      <c r="G15" s="129"/>
    </row>
    <row r="16" ht="12.75" customHeight="1">
      <c r="A16" s="137" t="s">
        <v>70</v>
      </c>
      <c r="B16" s="138" t="s">
        <v>63</v>
      </c>
      <c r="C16" s="138">
        <v>18.0</v>
      </c>
      <c r="D16" s="136">
        <v>2021.0</v>
      </c>
      <c r="E16" s="121" t="s">
        <v>314</v>
      </c>
      <c r="F16" s="131"/>
      <c r="G16" s="129"/>
    </row>
    <row r="17" ht="12.75" customHeight="1">
      <c r="A17" s="137" t="s">
        <v>325</v>
      </c>
      <c r="B17" s="138" t="s">
        <v>63</v>
      </c>
      <c r="C17" s="138">
        <v>11.0</v>
      </c>
      <c r="D17" s="136">
        <v>2021.0</v>
      </c>
      <c r="E17" s="121" t="s">
        <v>314</v>
      </c>
      <c r="F17" s="139"/>
      <c r="G17" s="123" t="s">
        <v>129</v>
      </c>
    </row>
    <row r="18" ht="12.75" customHeight="1">
      <c r="A18" s="137" t="s">
        <v>326</v>
      </c>
      <c r="B18" s="138" t="s">
        <v>63</v>
      </c>
      <c r="C18" s="138">
        <v>6.0</v>
      </c>
      <c r="D18" s="136">
        <v>2021.0</v>
      </c>
      <c r="E18" s="121" t="s">
        <v>314</v>
      </c>
      <c r="F18" s="139"/>
      <c r="G18" s="123"/>
    </row>
    <row r="19" ht="12.75" customHeight="1">
      <c r="A19" s="137" t="s">
        <v>327</v>
      </c>
      <c r="B19" s="138" t="s">
        <v>63</v>
      </c>
      <c r="C19" s="138">
        <v>3.0</v>
      </c>
      <c r="D19" s="136">
        <v>2021.0</v>
      </c>
      <c r="E19" s="121" t="s">
        <v>314</v>
      </c>
      <c r="F19" s="139"/>
      <c r="G19" s="123"/>
    </row>
    <row r="20" ht="12.75" customHeight="1">
      <c r="A20" s="137" t="s">
        <v>88</v>
      </c>
      <c r="B20" s="138" t="s">
        <v>63</v>
      </c>
      <c r="C20" s="138">
        <v>8.0</v>
      </c>
      <c r="D20" s="136">
        <v>2021.0</v>
      </c>
      <c r="E20" s="121" t="s">
        <v>314</v>
      </c>
      <c r="F20" s="139"/>
      <c r="G20" s="123"/>
    </row>
    <row r="21" ht="12.75" customHeight="1">
      <c r="A21" s="137" t="s">
        <v>109</v>
      </c>
      <c r="B21" s="138" t="s">
        <v>63</v>
      </c>
      <c r="C21" s="138">
        <v>1.0</v>
      </c>
      <c r="D21" s="136">
        <v>2022.0</v>
      </c>
      <c r="E21" s="124" t="s">
        <v>323</v>
      </c>
      <c r="F21" s="139"/>
      <c r="G21" s="123"/>
    </row>
    <row r="22" ht="12.75" customHeight="1">
      <c r="A22" s="137" t="s">
        <v>328</v>
      </c>
      <c r="B22" s="138" t="s">
        <v>63</v>
      </c>
      <c r="C22" s="138">
        <v>6.0</v>
      </c>
      <c r="D22" s="136">
        <v>2022.0</v>
      </c>
      <c r="E22" s="124" t="s">
        <v>323</v>
      </c>
      <c r="F22" s="139"/>
      <c r="G22" s="123"/>
    </row>
    <row r="23" ht="12.75" customHeight="1">
      <c r="A23" s="137" t="s">
        <v>329</v>
      </c>
      <c r="B23" s="138" t="s">
        <v>63</v>
      </c>
      <c r="C23" s="138">
        <v>9.0</v>
      </c>
      <c r="D23" s="136">
        <v>2022.0</v>
      </c>
      <c r="E23" s="124" t="s">
        <v>323</v>
      </c>
      <c r="F23" s="139"/>
      <c r="G23" s="123" t="s">
        <v>129</v>
      </c>
    </row>
    <row r="24" ht="12.75" customHeight="1">
      <c r="A24" s="140"/>
      <c r="B24" s="141"/>
      <c r="C24" s="141"/>
      <c r="D24" s="142"/>
      <c r="E24" s="126"/>
      <c r="F24" s="139"/>
      <c r="G24" s="123" t="s">
        <v>129</v>
      </c>
    </row>
    <row r="25" ht="12.75" customHeight="1">
      <c r="A25" s="143" t="s">
        <v>330</v>
      </c>
      <c r="B25" s="144" t="s">
        <v>111</v>
      </c>
      <c r="C25" s="144">
        <v>2.0</v>
      </c>
      <c r="D25" s="144">
        <v>2021.0</v>
      </c>
      <c r="E25" s="121" t="s">
        <v>314</v>
      </c>
      <c r="F25" s="139"/>
      <c r="G25" s="123"/>
    </row>
    <row r="26" ht="12.75" customHeight="1">
      <c r="A26" s="143" t="s">
        <v>306</v>
      </c>
      <c r="B26" s="144" t="s">
        <v>111</v>
      </c>
      <c r="C26" s="144">
        <v>5.0</v>
      </c>
      <c r="D26" s="144">
        <v>2022.0</v>
      </c>
      <c r="E26" s="124" t="s">
        <v>323</v>
      </c>
      <c r="F26" s="139"/>
      <c r="G26" s="123"/>
    </row>
    <row r="27" ht="12.75" customHeight="1">
      <c r="A27" s="145"/>
      <c r="B27" s="146"/>
      <c r="C27" s="146"/>
      <c r="D27" s="146"/>
      <c r="E27" s="126"/>
      <c r="F27" s="139" t="s">
        <v>129</v>
      </c>
      <c r="G27" s="123" t="s">
        <v>319</v>
      </c>
    </row>
    <row r="28" ht="12.75" customHeight="1">
      <c r="A28" s="147"/>
      <c r="B28" s="148" t="s">
        <v>124</v>
      </c>
      <c r="C28" s="149"/>
      <c r="D28" s="150"/>
      <c r="E28" s="126"/>
      <c r="F28" s="139" t="s">
        <v>129</v>
      </c>
      <c r="G28" s="123" t="s">
        <v>319</v>
      </c>
    </row>
    <row r="29" ht="12.75" customHeight="1">
      <c r="A29" s="147"/>
      <c r="B29" s="150"/>
      <c r="C29" s="149"/>
      <c r="D29" s="149"/>
      <c r="E29" s="134"/>
      <c r="F29" s="139" t="s">
        <v>129</v>
      </c>
      <c r="G29" s="123" t="s">
        <v>319</v>
      </c>
    </row>
    <row r="30" ht="12.75" customHeight="1">
      <c r="A30" s="151" t="s">
        <v>331</v>
      </c>
      <c r="B30" s="152" t="s">
        <v>133</v>
      </c>
      <c r="C30" s="152">
        <v>1.0</v>
      </c>
      <c r="D30" s="152">
        <v>2021.0</v>
      </c>
      <c r="E30" s="121" t="s">
        <v>314</v>
      </c>
      <c r="F30" s="139" t="s">
        <v>129</v>
      </c>
      <c r="G30" s="129" t="s">
        <v>129</v>
      </c>
    </row>
    <row r="31" ht="12.75" customHeight="1">
      <c r="A31" s="153"/>
      <c r="B31" s="154"/>
      <c r="C31" s="155"/>
      <c r="D31" s="155"/>
      <c r="E31" s="155"/>
      <c r="F31" s="139" t="s">
        <v>129</v>
      </c>
      <c r="G31" s="123" t="s">
        <v>129</v>
      </c>
    </row>
    <row r="32" ht="12.75" customHeight="1">
      <c r="A32" s="156" t="s">
        <v>332</v>
      </c>
      <c r="B32" s="157"/>
      <c r="C32" s="158"/>
      <c r="D32" s="158"/>
      <c r="E32" s="158"/>
      <c r="F32" s="157"/>
      <c r="G32" s="123" t="s">
        <v>129</v>
      </c>
    </row>
    <row r="33" ht="12.75" customHeight="1">
      <c r="A33" s="159" t="s">
        <v>333</v>
      </c>
      <c r="B33" s="160"/>
      <c r="C33" s="161">
        <v>1.0</v>
      </c>
      <c r="D33" s="162">
        <v>2021.0</v>
      </c>
      <c r="E33" s="163" t="s">
        <v>314</v>
      </c>
      <c r="F33" s="157"/>
      <c r="G33" s="123" t="s">
        <v>129</v>
      </c>
    </row>
    <row r="34" ht="12.75" customHeight="1">
      <c r="A34" s="159" t="s">
        <v>334</v>
      </c>
      <c r="B34" s="160"/>
      <c r="C34" s="161">
        <v>5.0</v>
      </c>
      <c r="D34" s="162">
        <v>2021.0</v>
      </c>
      <c r="E34" s="163" t="s">
        <v>314</v>
      </c>
      <c r="F34" s="157"/>
      <c r="G34" s="123" t="s">
        <v>129</v>
      </c>
    </row>
    <row r="35" ht="12.75" customHeight="1">
      <c r="A35" s="159" t="s">
        <v>335</v>
      </c>
      <c r="B35" s="160"/>
      <c r="C35" s="161">
        <v>2.0</v>
      </c>
      <c r="D35" s="162">
        <v>2021.0</v>
      </c>
      <c r="E35" s="163" t="s">
        <v>314</v>
      </c>
      <c r="F35" s="157"/>
    </row>
    <row r="36" ht="12.75" customHeight="1">
      <c r="A36" s="159" t="s">
        <v>336</v>
      </c>
      <c r="B36" s="160"/>
      <c r="C36" s="161">
        <v>1.0</v>
      </c>
      <c r="D36" s="162">
        <v>2021.0</v>
      </c>
      <c r="E36" s="163" t="s">
        <v>314</v>
      </c>
      <c r="F36" s="157"/>
    </row>
    <row r="37" ht="12.75" customHeight="1">
      <c r="A37" s="159" t="s">
        <v>337</v>
      </c>
      <c r="B37" s="160"/>
      <c r="C37" s="161">
        <v>1.0</v>
      </c>
      <c r="D37" s="162">
        <v>2021.0</v>
      </c>
      <c r="E37" s="163" t="s">
        <v>314</v>
      </c>
      <c r="F37" s="157"/>
    </row>
    <row r="38" ht="12.75" customHeight="1">
      <c r="A38" s="159" t="s">
        <v>338</v>
      </c>
      <c r="B38" s="164"/>
      <c r="C38" s="161">
        <v>1.0</v>
      </c>
      <c r="D38" s="162">
        <v>2021.0</v>
      </c>
      <c r="E38" s="163" t="s">
        <v>314</v>
      </c>
      <c r="F38" s="157"/>
    </row>
    <row r="39" ht="12.75" customHeight="1">
      <c r="A39" s="165"/>
      <c r="B39" s="164"/>
      <c r="C39" s="158"/>
      <c r="D39" s="157"/>
      <c r="E39" s="157"/>
      <c r="F39" s="157"/>
    </row>
    <row r="40" ht="12.75" customHeight="1">
      <c r="A40" s="166"/>
      <c r="B40" s="164"/>
      <c r="C40" s="157"/>
      <c r="D40" s="167"/>
      <c r="E40" s="167"/>
      <c r="F40" s="157"/>
    </row>
    <row r="41" ht="12.75" customHeight="1">
      <c r="A41" s="168" t="s">
        <v>339</v>
      </c>
      <c r="B41" s="169"/>
      <c r="C41" s="170">
        <v>209.0</v>
      </c>
      <c r="D41" s="169"/>
      <c r="E41" s="169"/>
    </row>
    <row r="42" ht="12.75" customHeight="1">
      <c r="A42" s="169"/>
      <c r="B42" s="169"/>
      <c r="C42" s="170">
        <v>0.0</v>
      </c>
      <c r="D42" s="171"/>
      <c r="E42" s="171"/>
    </row>
    <row r="43" ht="12.75" customHeight="1">
      <c r="A43" s="168" t="s">
        <v>340</v>
      </c>
      <c r="B43" s="169"/>
      <c r="C43" s="170">
        <v>41.0</v>
      </c>
      <c r="D43" s="169"/>
      <c r="E43" s="169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1</v>
      </c>
      <c r="B1" s="114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343</v>
      </c>
      <c r="B3" s="172" t="s">
        <v>9</v>
      </c>
      <c r="C3" s="173">
        <v>3.0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344</v>
      </c>
      <c r="B4" s="172" t="s">
        <v>9</v>
      </c>
      <c r="C4" s="173">
        <v>3.0</v>
      </c>
      <c r="D4" s="173">
        <v>2021.0</v>
      </c>
      <c r="E4" s="172" t="s">
        <v>314</v>
      </c>
      <c r="F4" s="174"/>
      <c r="G4" s="123"/>
    </row>
    <row r="5" ht="12.75" customHeight="1">
      <c r="A5" s="125"/>
      <c r="B5" s="174"/>
      <c r="C5" s="174"/>
      <c r="D5" s="174"/>
      <c r="E5" s="174"/>
      <c r="F5" s="174"/>
      <c r="G5" s="123" t="s">
        <v>129</v>
      </c>
    </row>
    <row r="6" ht="12.75" customHeight="1">
      <c r="A6" s="127" t="s">
        <v>345</v>
      </c>
      <c r="B6" s="175" t="s">
        <v>24</v>
      </c>
      <c r="C6" s="176">
        <v>50.0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346</v>
      </c>
      <c r="B7" s="175" t="s">
        <v>24</v>
      </c>
      <c r="C7" s="176">
        <v>36.0</v>
      </c>
      <c r="D7" s="176">
        <v>2021.0</v>
      </c>
      <c r="E7" s="175" t="s">
        <v>314</v>
      </c>
      <c r="F7" s="178"/>
      <c r="G7" s="123" t="s">
        <v>129</v>
      </c>
    </row>
    <row r="8" ht="12.75" customHeight="1">
      <c r="A8" s="127" t="s">
        <v>347</v>
      </c>
      <c r="B8" s="175" t="s">
        <v>24</v>
      </c>
      <c r="C8" s="176">
        <v>1.0</v>
      </c>
      <c r="D8" s="176">
        <v>2021.0</v>
      </c>
      <c r="E8" s="175" t="s">
        <v>314</v>
      </c>
      <c r="F8" s="178"/>
      <c r="G8" s="123" t="s">
        <v>319</v>
      </c>
    </row>
    <row r="9" ht="12.75" customHeight="1">
      <c r="A9" s="127" t="s">
        <v>348</v>
      </c>
      <c r="B9" s="175" t="s">
        <v>24</v>
      </c>
      <c r="C9" s="176">
        <v>14.0</v>
      </c>
      <c r="D9" s="176">
        <v>2022.0</v>
      </c>
      <c r="E9" s="179" t="s">
        <v>323</v>
      </c>
      <c r="F9" s="178"/>
      <c r="G9" s="129"/>
    </row>
    <row r="10" ht="12.75" customHeight="1">
      <c r="A10" s="127" t="s">
        <v>49</v>
      </c>
      <c r="B10" s="175" t="s">
        <v>24</v>
      </c>
      <c r="C10" s="176">
        <v>4.0</v>
      </c>
      <c r="D10" s="176">
        <v>2021.0</v>
      </c>
      <c r="E10" s="179" t="s">
        <v>323</v>
      </c>
      <c r="F10" s="178"/>
      <c r="G10" s="129" t="s">
        <v>129</v>
      </c>
    </row>
    <row r="11" ht="12.75" customHeight="1">
      <c r="A11" s="180"/>
      <c r="B11" s="178"/>
      <c r="C11" s="178"/>
      <c r="D11" s="178"/>
      <c r="E11" s="174"/>
      <c r="F11" s="178"/>
    </row>
    <row r="12" ht="12.75" customHeight="1">
      <c r="A12" s="135" t="s">
        <v>349</v>
      </c>
      <c r="B12" s="181" t="s">
        <v>63</v>
      </c>
      <c r="C12" s="182">
        <v>45.0</v>
      </c>
      <c r="D12" s="182">
        <v>2021.0</v>
      </c>
      <c r="E12" s="181" t="s">
        <v>314</v>
      </c>
      <c r="F12" s="183"/>
    </row>
    <row r="13" ht="12.75" customHeight="1">
      <c r="A13" s="137" t="s">
        <v>350</v>
      </c>
      <c r="B13" s="184" t="s">
        <v>63</v>
      </c>
      <c r="C13" s="185">
        <v>15.0</v>
      </c>
      <c r="D13" s="182">
        <v>2021.0</v>
      </c>
      <c r="E13" s="181" t="s">
        <v>314</v>
      </c>
      <c r="F13" s="183"/>
    </row>
    <row r="14" ht="12.75" customHeight="1">
      <c r="A14" s="137" t="s">
        <v>351</v>
      </c>
      <c r="B14" s="184" t="s">
        <v>63</v>
      </c>
      <c r="C14" s="185">
        <v>7.0</v>
      </c>
      <c r="D14" s="182">
        <v>2021.0</v>
      </c>
      <c r="E14" s="181" t="s">
        <v>314</v>
      </c>
      <c r="F14" s="183"/>
      <c r="G14" s="129" t="s">
        <v>129</v>
      </c>
    </row>
    <row r="15" ht="12.75" customHeight="1">
      <c r="A15" s="137" t="s">
        <v>352</v>
      </c>
      <c r="B15" s="184" t="s">
        <v>63</v>
      </c>
      <c r="C15" s="185">
        <v>3.0</v>
      </c>
      <c r="D15" s="182">
        <v>2021.0</v>
      </c>
      <c r="E15" s="181" t="s">
        <v>314</v>
      </c>
      <c r="F15" s="183"/>
      <c r="G15" s="129"/>
    </row>
    <row r="16" ht="12.75" customHeight="1">
      <c r="A16" s="135" t="s">
        <v>353</v>
      </c>
      <c r="B16" s="184" t="s">
        <v>63</v>
      </c>
      <c r="C16" s="185">
        <v>18.0</v>
      </c>
      <c r="D16" s="182">
        <v>2022.0</v>
      </c>
      <c r="E16" s="186" t="s">
        <v>323</v>
      </c>
      <c r="F16" s="183"/>
      <c r="G16" s="129"/>
    </row>
    <row r="17" ht="12.75" customHeight="1">
      <c r="A17" s="137" t="s">
        <v>354</v>
      </c>
      <c r="B17" s="184" t="s">
        <v>63</v>
      </c>
      <c r="C17" s="185">
        <v>1.0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336</v>
      </c>
      <c r="B18" s="184" t="s">
        <v>63</v>
      </c>
      <c r="C18" s="185">
        <v>1.0</v>
      </c>
      <c r="D18" s="182">
        <v>2021.0</v>
      </c>
      <c r="E18" s="181" t="s">
        <v>314</v>
      </c>
      <c r="F18" s="183"/>
      <c r="G18" s="123"/>
    </row>
    <row r="19" ht="12.75" customHeight="1">
      <c r="A19" s="137" t="s">
        <v>355</v>
      </c>
      <c r="B19" s="184" t="s">
        <v>63</v>
      </c>
      <c r="C19" s="185">
        <v>6.0</v>
      </c>
      <c r="D19" s="182">
        <v>2022.0</v>
      </c>
      <c r="E19" s="186" t="s">
        <v>323</v>
      </c>
      <c r="F19" s="183"/>
      <c r="G19" s="123"/>
    </row>
    <row r="20" ht="12.75" customHeight="1">
      <c r="A20" s="140"/>
      <c r="B20" s="187"/>
      <c r="C20" s="187"/>
      <c r="D20" s="188"/>
      <c r="E20" s="189"/>
      <c r="F20" s="183"/>
      <c r="G20" s="123"/>
    </row>
    <row r="21" ht="12.75" customHeight="1">
      <c r="A21" s="143" t="s">
        <v>356</v>
      </c>
      <c r="B21" s="190" t="s">
        <v>111</v>
      </c>
      <c r="C21" s="191">
        <v>21.0</v>
      </c>
      <c r="D21" s="191">
        <v>2021.0</v>
      </c>
      <c r="E21" s="190" t="s">
        <v>314</v>
      </c>
      <c r="F21" s="192"/>
      <c r="G21" s="123"/>
    </row>
    <row r="22" ht="12.75" customHeight="1">
      <c r="A22" s="143" t="s">
        <v>357</v>
      </c>
      <c r="B22" s="190" t="s">
        <v>111</v>
      </c>
      <c r="C22" s="191">
        <v>2.0</v>
      </c>
      <c r="D22" s="191">
        <v>2022.0</v>
      </c>
      <c r="E22" s="193" t="s">
        <v>323</v>
      </c>
      <c r="F22" s="192"/>
      <c r="G22" s="123"/>
    </row>
    <row r="23" ht="12.75" customHeight="1">
      <c r="A23" s="145"/>
      <c r="B23" s="192"/>
      <c r="C23" s="192"/>
      <c r="D23" s="192"/>
      <c r="E23" s="174"/>
      <c r="F23" s="192"/>
      <c r="G23" s="123" t="s">
        <v>129</v>
      </c>
    </row>
    <row r="24" ht="12.75" customHeight="1">
      <c r="A24" s="194" t="s">
        <v>358</v>
      </c>
      <c r="B24" s="195" t="s">
        <v>124</v>
      </c>
      <c r="C24" s="196">
        <v>1.0</v>
      </c>
      <c r="D24" s="196">
        <v>2021.0</v>
      </c>
      <c r="E24" s="195" t="s">
        <v>314</v>
      </c>
      <c r="F24" s="197"/>
      <c r="G24" s="123" t="s">
        <v>129</v>
      </c>
    </row>
    <row r="25" ht="12.75" customHeight="1">
      <c r="A25" s="198"/>
      <c r="B25" s="197"/>
      <c r="C25" s="197"/>
      <c r="D25" s="197"/>
      <c r="E25" s="174"/>
      <c r="F25" s="197"/>
      <c r="G25" s="123"/>
    </row>
    <row r="26" ht="12.75" customHeight="1">
      <c r="A26" s="199"/>
      <c r="B26" s="200" t="s">
        <v>359</v>
      </c>
      <c r="C26" s="201"/>
      <c r="D26" s="201"/>
      <c r="E26" s="201"/>
      <c r="F26" s="201"/>
      <c r="G26" s="123"/>
    </row>
    <row r="27" ht="12.75" customHeight="1">
      <c r="A27" s="153"/>
      <c r="B27" s="201"/>
      <c r="C27" s="201"/>
      <c r="D27" s="201"/>
      <c r="E27" s="174"/>
      <c r="F27" s="201"/>
      <c r="G27" s="123" t="s">
        <v>319</v>
      </c>
    </row>
    <row r="28" ht="12.75" customHeight="1">
      <c r="A28" s="153"/>
      <c r="B28" s="202"/>
      <c r="C28" s="202"/>
      <c r="D28" s="202"/>
      <c r="E28" s="202"/>
      <c r="F28" s="201"/>
      <c r="G28" s="123" t="s">
        <v>129</v>
      </c>
    </row>
    <row r="29" ht="12.75" customHeight="1">
      <c r="A29" s="156" t="s">
        <v>332</v>
      </c>
      <c r="B29" s="158"/>
      <c r="C29" s="158"/>
      <c r="D29" s="158"/>
      <c r="E29" s="158"/>
      <c r="F29" s="157"/>
      <c r="G29" s="123"/>
    </row>
    <row r="30" ht="12.75" customHeight="1">
      <c r="A30" s="159" t="s">
        <v>360</v>
      </c>
      <c r="B30" s="203" t="s">
        <v>141</v>
      </c>
      <c r="C30" s="161">
        <v>2.0</v>
      </c>
      <c r="D30" s="161">
        <v>2021.0</v>
      </c>
      <c r="E30" s="163" t="s">
        <v>314</v>
      </c>
      <c r="F30" s="157"/>
      <c r="G30" s="129" t="s">
        <v>129</v>
      </c>
    </row>
    <row r="31" ht="12.75" customHeight="1">
      <c r="A31" s="159" t="s">
        <v>148</v>
      </c>
      <c r="B31" s="203" t="s">
        <v>141</v>
      </c>
      <c r="C31" s="161">
        <v>1.0</v>
      </c>
      <c r="D31" s="161">
        <v>2021.0</v>
      </c>
      <c r="E31" s="163" t="s">
        <v>314</v>
      </c>
      <c r="F31" s="157"/>
      <c r="G31" s="123" t="s">
        <v>129</v>
      </c>
    </row>
    <row r="32" ht="12.75" customHeight="1">
      <c r="A32" s="159" t="s">
        <v>153</v>
      </c>
      <c r="B32" s="203" t="s">
        <v>141</v>
      </c>
      <c r="C32" s="161">
        <v>1.0</v>
      </c>
      <c r="D32" s="161">
        <v>2021.0</v>
      </c>
      <c r="E32" s="163" t="s">
        <v>314</v>
      </c>
      <c r="F32" s="157"/>
      <c r="G32" s="123" t="s">
        <v>129</v>
      </c>
    </row>
    <row r="33" ht="12.75" customHeight="1">
      <c r="A33" s="159" t="s">
        <v>158</v>
      </c>
      <c r="B33" s="203" t="s">
        <v>141</v>
      </c>
      <c r="C33" s="161">
        <v>1.0</v>
      </c>
      <c r="D33" s="161">
        <v>2021.0</v>
      </c>
      <c r="E33" s="163" t="s">
        <v>314</v>
      </c>
      <c r="F33" s="157"/>
      <c r="G33" s="123" t="s">
        <v>129</v>
      </c>
    </row>
    <row r="34" ht="12.75" customHeight="1">
      <c r="A34" s="159" t="s">
        <v>361</v>
      </c>
      <c r="B34" s="203" t="s">
        <v>141</v>
      </c>
      <c r="C34" s="161">
        <v>1.0</v>
      </c>
      <c r="D34" s="161">
        <v>2021.0</v>
      </c>
      <c r="E34" s="163" t="s">
        <v>314</v>
      </c>
      <c r="F34" s="157"/>
      <c r="G34" s="123" t="s">
        <v>129</v>
      </c>
    </row>
    <row r="35" ht="12.75" customHeight="1">
      <c r="A35" s="159" t="s">
        <v>362</v>
      </c>
      <c r="B35" s="203" t="s">
        <v>141</v>
      </c>
      <c r="C35" s="161">
        <v>1.0</v>
      </c>
      <c r="D35" s="161">
        <v>2021.0</v>
      </c>
      <c r="E35" s="163" t="s">
        <v>314</v>
      </c>
      <c r="F35" s="157"/>
    </row>
    <row r="36" ht="12.75" customHeight="1">
      <c r="A36" s="159" t="s">
        <v>170</v>
      </c>
      <c r="B36" s="203" t="s">
        <v>141</v>
      </c>
      <c r="C36" s="161">
        <v>1.0</v>
      </c>
      <c r="D36" s="161">
        <v>2021.0</v>
      </c>
      <c r="E36" s="163" t="s">
        <v>314</v>
      </c>
      <c r="F36" s="157"/>
    </row>
    <row r="37" ht="12.75" customHeight="1">
      <c r="A37" s="159" t="s">
        <v>363</v>
      </c>
      <c r="B37" s="203" t="s">
        <v>141</v>
      </c>
      <c r="C37" s="161">
        <v>1.0</v>
      </c>
      <c r="D37" s="161">
        <v>2021.0</v>
      </c>
      <c r="E37" s="163" t="s">
        <v>314</v>
      </c>
      <c r="F37" s="157"/>
    </row>
    <row r="38" ht="12.75" customHeight="1">
      <c r="A38" s="168" t="s">
        <v>339</v>
      </c>
      <c r="B38" s="169"/>
      <c r="C38" s="170">
        <v>240.0</v>
      </c>
      <c r="D38" s="169"/>
      <c r="E38" s="169"/>
      <c r="F38" s="169"/>
    </row>
    <row r="39" ht="12.75" customHeight="1">
      <c r="A39" s="169"/>
      <c r="B39" s="169"/>
      <c r="C39" s="170">
        <v>0.0</v>
      </c>
      <c r="D39" s="204"/>
      <c r="E39" s="204"/>
      <c r="F39" s="169"/>
    </row>
    <row r="40" ht="12.75" customHeight="1">
      <c r="A40" s="168" t="s">
        <v>340</v>
      </c>
      <c r="B40" s="169"/>
      <c r="C40" s="170">
        <v>10.0</v>
      </c>
      <c r="D40" s="169"/>
      <c r="E40" s="169"/>
      <c r="F40" s="169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2</v>
      </c>
      <c r="B1" s="114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305</v>
      </c>
      <c r="B3" s="172" t="s">
        <v>9</v>
      </c>
      <c r="C3" s="173">
        <v>5.0</v>
      </c>
      <c r="D3" s="173">
        <v>2022.0</v>
      </c>
      <c r="E3" s="205" t="s">
        <v>323</v>
      </c>
      <c r="F3" s="174"/>
      <c r="G3" s="123" t="s">
        <v>129</v>
      </c>
    </row>
    <row r="4" ht="12.75" customHeight="1">
      <c r="A4" s="120" t="s">
        <v>364</v>
      </c>
      <c r="B4" s="172" t="s">
        <v>9</v>
      </c>
      <c r="C4" s="173">
        <v>17.0</v>
      </c>
      <c r="D4" s="173">
        <v>2021.0</v>
      </c>
      <c r="E4" s="172" t="s">
        <v>314</v>
      </c>
      <c r="F4" s="174"/>
      <c r="G4" s="123"/>
    </row>
    <row r="5" ht="12.75" customHeight="1">
      <c r="A5" s="120" t="s">
        <v>365</v>
      </c>
      <c r="B5" s="172" t="s">
        <v>9</v>
      </c>
      <c r="C5" s="173">
        <v>3.0</v>
      </c>
      <c r="D5" s="173">
        <v>2021.0</v>
      </c>
      <c r="E5" s="172" t="s">
        <v>314</v>
      </c>
      <c r="F5" s="174"/>
      <c r="G5" s="123" t="s">
        <v>129</v>
      </c>
    </row>
    <row r="6" ht="12.75" customHeight="1">
      <c r="A6" s="120" t="s">
        <v>366</v>
      </c>
      <c r="B6" s="172" t="s">
        <v>9</v>
      </c>
      <c r="C6" s="173">
        <v>2.0</v>
      </c>
      <c r="D6" s="173">
        <v>2021.0</v>
      </c>
      <c r="E6" s="172" t="s">
        <v>314</v>
      </c>
      <c r="F6" s="174"/>
      <c r="G6" s="129" t="s">
        <v>129</v>
      </c>
    </row>
    <row r="7" ht="12.75" customHeight="1">
      <c r="A7" s="180"/>
      <c r="B7" s="178"/>
      <c r="C7" s="178"/>
      <c r="D7" s="178"/>
      <c r="E7" s="174"/>
      <c r="F7" s="177"/>
      <c r="G7" s="123" t="s">
        <v>129</v>
      </c>
    </row>
    <row r="8" ht="12.75" customHeight="1">
      <c r="A8" s="127" t="s">
        <v>367</v>
      </c>
      <c r="B8" s="175" t="s">
        <v>24</v>
      </c>
      <c r="C8" s="176">
        <v>28.0</v>
      </c>
      <c r="D8" s="176">
        <v>2022.0</v>
      </c>
      <c r="E8" s="179" t="s">
        <v>323</v>
      </c>
      <c r="F8" s="178"/>
      <c r="G8" s="123" t="s">
        <v>319</v>
      </c>
    </row>
    <row r="9" ht="12.75" customHeight="1">
      <c r="A9" s="127" t="s">
        <v>368</v>
      </c>
      <c r="B9" s="175" t="s">
        <v>24</v>
      </c>
      <c r="C9" s="176">
        <v>3.0</v>
      </c>
      <c r="D9" s="176">
        <v>2021.0</v>
      </c>
      <c r="E9" s="175" t="s">
        <v>314</v>
      </c>
      <c r="F9" s="178"/>
      <c r="G9" s="129"/>
    </row>
    <row r="10" ht="12.75" customHeight="1">
      <c r="A10" s="127" t="s">
        <v>369</v>
      </c>
      <c r="B10" s="175" t="s">
        <v>24</v>
      </c>
      <c r="C10" s="176">
        <v>2.0</v>
      </c>
      <c r="D10" s="176">
        <v>2021.0</v>
      </c>
      <c r="E10" s="175" t="s">
        <v>314</v>
      </c>
      <c r="F10" s="178"/>
      <c r="G10" s="129" t="s">
        <v>129</v>
      </c>
    </row>
    <row r="11" ht="12.75" customHeight="1">
      <c r="A11" s="127" t="s">
        <v>50</v>
      </c>
      <c r="B11" s="175" t="s">
        <v>24</v>
      </c>
      <c r="C11" s="176">
        <v>29.0</v>
      </c>
      <c r="D11" s="176">
        <v>2022.0</v>
      </c>
      <c r="E11" s="179" t="s">
        <v>323</v>
      </c>
      <c r="F11" s="178"/>
    </row>
    <row r="12" ht="12.75" customHeight="1">
      <c r="A12" s="127" t="s">
        <v>370</v>
      </c>
      <c r="B12" s="175" t="s">
        <v>24</v>
      </c>
      <c r="C12" s="176">
        <v>1.0</v>
      </c>
      <c r="D12" s="176">
        <v>2021.0</v>
      </c>
      <c r="E12" s="175" t="s">
        <v>314</v>
      </c>
      <c r="F12" s="178"/>
    </row>
    <row r="13" ht="12.75" customHeight="1">
      <c r="A13" s="180"/>
      <c r="B13" s="178"/>
      <c r="C13" s="178"/>
      <c r="D13" s="178"/>
      <c r="E13" s="174"/>
      <c r="F13" s="178"/>
    </row>
    <row r="14" ht="12.75" customHeight="1">
      <c r="A14" s="135" t="s">
        <v>371</v>
      </c>
      <c r="B14" s="181" t="s">
        <v>63</v>
      </c>
      <c r="C14" s="182">
        <v>37.0</v>
      </c>
      <c r="D14" s="182">
        <v>2021.0</v>
      </c>
      <c r="E14" s="181" t="s">
        <v>314</v>
      </c>
      <c r="F14" s="183"/>
      <c r="G14" s="129" t="s">
        <v>129</v>
      </c>
    </row>
    <row r="15" ht="12.75" customHeight="1">
      <c r="A15" s="137" t="s">
        <v>372</v>
      </c>
      <c r="B15" s="184" t="s">
        <v>63</v>
      </c>
      <c r="C15" s="185">
        <v>15.0</v>
      </c>
      <c r="D15" s="182">
        <v>2021.0</v>
      </c>
      <c r="E15" s="181" t="s">
        <v>314</v>
      </c>
      <c r="F15" s="183"/>
      <c r="G15" s="129"/>
    </row>
    <row r="16" ht="12.75" customHeight="1">
      <c r="A16" s="137" t="s">
        <v>373</v>
      </c>
      <c r="B16" s="184" t="s">
        <v>63</v>
      </c>
      <c r="C16" s="185">
        <v>15.0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374</v>
      </c>
      <c r="B17" s="184" t="s">
        <v>63</v>
      </c>
      <c r="C17" s="185">
        <v>3.0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96</v>
      </c>
      <c r="B18" s="184" t="s">
        <v>63</v>
      </c>
      <c r="C18" s="185">
        <v>20.0</v>
      </c>
      <c r="D18" s="182">
        <v>2022.0</v>
      </c>
      <c r="E18" s="186" t="s">
        <v>323</v>
      </c>
      <c r="F18" s="183"/>
      <c r="G18" s="123"/>
    </row>
    <row r="19" ht="12.75" customHeight="1">
      <c r="A19" s="137" t="s">
        <v>102</v>
      </c>
      <c r="B19" s="184" t="s">
        <v>63</v>
      </c>
      <c r="C19" s="185">
        <v>7.0</v>
      </c>
      <c r="D19" s="182">
        <v>202.0</v>
      </c>
      <c r="E19" s="186" t="s">
        <v>323</v>
      </c>
      <c r="F19" s="183"/>
      <c r="G19" s="123"/>
    </row>
    <row r="20" ht="12.75" customHeight="1">
      <c r="A20" s="137" t="s">
        <v>375</v>
      </c>
      <c r="B20" s="184" t="s">
        <v>63</v>
      </c>
      <c r="C20" s="185">
        <v>2.0</v>
      </c>
      <c r="D20" s="182">
        <v>2021.0</v>
      </c>
      <c r="E20" s="181" t="s">
        <v>314</v>
      </c>
      <c r="F20" s="183"/>
      <c r="G20" s="123"/>
    </row>
    <row r="21" ht="12.75" customHeight="1">
      <c r="A21" s="206"/>
      <c r="B21" s="183"/>
      <c r="C21" s="183"/>
      <c r="D21" s="207"/>
      <c r="E21" s="174"/>
      <c r="F21" s="183"/>
      <c r="G21" s="123"/>
    </row>
    <row r="22" ht="12.75" customHeight="1">
      <c r="A22" s="143" t="s">
        <v>376</v>
      </c>
      <c r="B22" s="190" t="s">
        <v>111</v>
      </c>
      <c r="C22" s="191">
        <v>20.0</v>
      </c>
      <c r="D22" s="191">
        <v>2021.0</v>
      </c>
      <c r="E22" s="190" t="s">
        <v>314</v>
      </c>
      <c r="F22" s="192"/>
      <c r="G22" s="123"/>
    </row>
    <row r="23" ht="12.75" customHeight="1">
      <c r="A23" s="198"/>
      <c r="B23" s="197"/>
      <c r="C23" s="197"/>
      <c r="D23" s="197"/>
      <c r="E23" s="174"/>
      <c r="F23" s="197"/>
      <c r="G23" s="123" t="s">
        <v>129</v>
      </c>
    </row>
    <row r="24" ht="12.75" customHeight="1">
      <c r="A24" s="151" t="s">
        <v>377</v>
      </c>
      <c r="B24" s="200" t="s">
        <v>133</v>
      </c>
      <c r="C24" s="208">
        <v>2.0</v>
      </c>
      <c r="D24" s="208">
        <v>2021.0</v>
      </c>
      <c r="E24" s="200" t="s">
        <v>314</v>
      </c>
      <c r="F24" s="201"/>
      <c r="G24" s="123" t="s">
        <v>129</v>
      </c>
    </row>
    <row r="25" ht="12.75" customHeight="1">
      <c r="A25" s="151" t="s">
        <v>378</v>
      </c>
      <c r="B25" s="200" t="s">
        <v>133</v>
      </c>
      <c r="C25" s="208">
        <v>2.0</v>
      </c>
      <c r="D25" s="208">
        <v>2021.0</v>
      </c>
      <c r="E25" s="200" t="s">
        <v>314</v>
      </c>
      <c r="F25" s="201"/>
      <c r="G25" s="123"/>
    </row>
    <row r="26" ht="12.75" customHeight="1">
      <c r="A26" s="209"/>
      <c r="B26" s="210"/>
      <c r="C26" s="210"/>
      <c r="D26" s="210"/>
      <c r="E26" s="210"/>
      <c r="F26" s="210"/>
      <c r="G26" s="123"/>
    </row>
    <row r="27" ht="12.75" customHeight="1">
      <c r="A27" s="156" t="s">
        <v>332</v>
      </c>
      <c r="B27" s="157"/>
      <c r="C27" s="157"/>
      <c r="D27" s="157"/>
      <c r="E27" s="157"/>
      <c r="F27" s="157"/>
      <c r="G27" s="123" t="s">
        <v>319</v>
      </c>
    </row>
    <row r="28" ht="12.75" customHeight="1">
      <c r="A28" s="159" t="s">
        <v>379</v>
      </c>
      <c r="B28" s="160"/>
      <c r="C28" s="161">
        <v>1.0</v>
      </c>
      <c r="D28" s="161">
        <v>2021.0</v>
      </c>
      <c r="E28" s="163" t="s">
        <v>314</v>
      </c>
      <c r="F28" s="157"/>
      <c r="G28" s="123" t="s">
        <v>129</v>
      </c>
    </row>
    <row r="29" ht="12.75" customHeight="1">
      <c r="A29" s="159" t="s">
        <v>380</v>
      </c>
      <c r="B29" s="160"/>
      <c r="C29" s="161">
        <v>1.0</v>
      </c>
      <c r="D29" s="161">
        <v>2021.0</v>
      </c>
      <c r="E29" s="163" t="s">
        <v>314</v>
      </c>
      <c r="F29" s="157"/>
      <c r="G29" s="123"/>
    </row>
    <row r="30" ht="12.75" customHeight="1">
      <c r="A30" s="159" t="s">
        <v>154</v>
      </c>
      <c r="B30" s="160"/>
      <c r="C30" s="161">
        <v>1.0</v>
      </c>
      <c r="D30" s="161">
        <v>2021.0</v>
      </c>
      <c r="E30" s="163" t="s">
        <v>314</v>
      </c>
      <c r="F30" s="157"/>
      <c r="G30" s="129" t="s">
        <v>129</v>
      </c>
    </row>
    <row r="31" ht="12.75" customHeight="1">
      <c r="A31" s="159" t="s">
        <v>159</v>
      </c>
      <c r="B31" s="160"/>
      <c r="C31" s="161">
        <v>2.0</v>
      </c>
      <c r="D31" s="161">
        <v>2021.0</v>
      </c>
      <c r="E31" s="163" t="s">
        <v>314</v>
      </c>
      <c r="F31" s="157"/>
      <c r="G31" s="123" t="s">
        <v>129</v>
      </c>
    </row>
    <row r="32" ht="12.75" customHeight="1">
      <c r="A32" s="159" t="s">
        <v>381</v>
      </c>
      <c r="B32" s="160"/>
      <c r="C32" s="161">
        <v>1.0</v>
      </c>
      <c r="D32" s="161">
        <v>2021.0</v>
      </c>
      <c r="E32" s="163" t="s">
        <v>314</v>
      </c>
      <c r="F32" s="157"/>
      <c r="G32" s="123" t="s">
        <v>129</v>
      </c>
    </row>
    <row r="33" ht="12.75" customHeight="1">
      <c r="A33" s="159" t="s">
        <v>382</v>
      </c>
      <c r="B33" s="160"/>
      <c r="C33" s="161">
        <v>16.0</v>
      </c>
      <c r="D33" s="161">
        <v>2021.0</v>
      </c>
      <c r="E33" s="163" t="s">
        <v>314</v>
      </c>
      <c r="F33" s="157"/>
      <c r="G33" s="123" t="s">
        <v>129</v>
      </c>
    </row>
    <row r="34" ht="12.75" customHeight="1">
      <c r="A34" s="159" t="s">
        <v>47</v>
      </c>
      <c r="B34" s="160"/>
      <c r="C34" s="161">
        <v>5.0</v>
      </c>
      <c r="D34" s="161">
        <v>2021.0</v>
      </c>
      <c r="E34" s="163" t="s">
        <v>314</v>
      </c>
      <c r="F34" s="157"/>
      <c r="G34" s="123" t="s">
        <v>129</v>
      </c>
    </row>
    <row r="35" ht="12.75" customHeight="1">
      <c r="A35" s="159" t="s">
        <v>383</v>
      </c>
      <c r="B35" s="160"/>
      <c r="C35" s="161">
        <v>1.0</v>
      </c>
      <c r="D35" s="161">
        <v>2021.0</v>
      </c>
      <c r="E35" s="163" t="s">
        <v>314</v>
      </c>
      <c r="F35" s="157"/>
    </row>
    <row r="36" ht="12.75" customHeight="1">
      <c r="A36" s="159" t="s">
        <v>174</v>
      </c>
      <c r="B36" s="160"/>
      <c r="C36" s="161">
        <v>2.0</v>
      </c>
      <c r="D36" s="161">
        <v>2021.0</v>
      </c>
      <c r="E36" s="163" t="s">
        <v>314</v>
      </c>
      <c r="F36" s="157"/>
    </row>
    <row r="37" ht="12.75" customHeight="1">
      <c r="A37" s="168" t="s">
        <v>339</v>
      </c>
      <c r="B37" s="211"/>
      <c r="C37" s="170">
        <v>243.0</v>
      </c>
      <c r="D37" s="211"/>
      <c r="E37" s="211"/>
      <c r="F37" s="211"/>
    </row>
    <row r="38" ht="12.75" customHeight="1">
      <c r="A38" s="211"/>
      <c r="B38" s="169"/>
      <c r="C38" s="170">
        <v>0.0</v>
      </c>
      <c r="D38" s="171"/>
      <c r="E38" s="171"/>
      <c r="F38" s="169"/>
    </row>
    <row r="39" ht="12.75" customHeight="1">
      <c r="A39" s="168" t="s">
        <v>340</v>
      </c>
      <c r="B39" s="169"/>
      <c r="C39" s="170">
        <v>7.0</v>
      </c>
      <c r="D39" s="211"/>
      <c r="E39" s="211"/>
      <c r="F39" s="169"/>
    </row>
    <row r="40" ht="12.75" customHeight="1">
      <c r="A40" s="129"/>
      <c r="C40" s="129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3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384</v>
      </c>
      <c r="B3" s="172" t="s">
        <v>9</v>
      </c>
      <c r="C3" s="173">
        <v>8.0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385</v>
      </c>
      <c r="B4" s="172" t="s">
        <v>9</v>
      </c>
      <c r="C4" s="173">
        <v>3.0</v>
      </c>
      <c r="D4" s="173">
        <v>2021.0</v>
      </c>
      <c r="E4" s="172" t="s">
        <v>314</v>
      </c>
      <c r="F4" s="174"/>
      <c r="G4" s="123" t="s">
        <v>129</v>
      </c>
    </row>
    <row r="5" ht="12.75" customHeight="1">
      <c r="A5" s="125"/>
      <c r="B5" s="174"/>
      <c r="C5" s="174"/>
      <c r="D5" s="174"/>
      <c r="E5" s="174"/>
      <c r="F5" s="174"/>
      <c r="G5" s="129" t="s">
        <v>129</v>
      </c>
    </row>
    <row r="6" ht="12.75" customHeight="1">
      <c r="A6" s="127" t="s">
        <v>386</v>
      </c>
      <c r="B6" s="175" t="s">
        <v>24</v>
      </c>
      <c r="C6" s="176">
        <v>28.0</v>
      </c>
      <c r="D6" s="176">
        <v>2021.0</v>
      </c>
      <c r="E6" s="175" t="s">
        <v>314</v>
      </c>
      <c r="F6" s="177"/>
      <c r="G6" s="129"/>
    </row>
    <row r="7" ht="12.75" customHeight="1">
      <c r="A7" s="127" t="s">
        <v>387</v>
      </c>
      <c r="B7" s="175" t="s">
        <v>24</v>
      </c>
      <c r="C7" s="176">
        <v>29.0</v>
      </c>
      <c r="D7" s="176">
        <v>2021.0</v>
      </c>
      <c r="E7" s="175" t="s">
        <v>314</v>
      </c>
      <c r="F7" s="177"/>
      <c r="G7" s="123" t="s">
        <v>129</v>
      </c>
    </row>
    <row r="8" ht="12.75" customHeight="1">
      <c r="A8" s="127" t="s">
        <v>302</v>
      </c>
      <c r="B8" s="175" t="s">
        <v>24</v>
      </c>
      <c r="C8" s="176">
        <v>6.0</v>
      </c>
      <c r="D8" s="176">
        <v>2022.0</v>
      </c>
      <c r="E8" s="179" t="s">
        <v>323</v>
      </c>
      <c r="F8" s="177"/>
      <c r="G8" s="123" t="s">
        <v>319</v>
      </c>
    </row>
    <row r="9" ht="12.75" customHeight="1">
      <c r="A9" s="127" t="s">
        <v>388</v>
      </c>
      <c r="B9" s="175" t="s">
        <v>24</v>
      </c>
      <c r="C9" s="176">
        <v>2.0</v>
      </c>
      <c r="D9" s="176">
        <v>2021.0</v>
      </c>
      <c r="E9" s="175" t="s">
        <v>314</v>
      </c>
      <c r="F9" s="177"/>
      <c r="G9" s="129" t="s">
        <v>129</v>
      </c>
    </row>
    <row r="10" ht="12.75" customHeight="1">
      <c r="A10" s="127" t="s">
        <v>389</v>
      </c>
      <c r="B10" s="175" t="s">
        <v>24</v>
      </c>
      <c r="C10" s="176">
        <v>1.0</v>
      </c>
      <c r="D10" s="176">
        <v>2021.0</v>
      </c>
      <c r="E10" s="175" t="s">
        <v>314</v>
      </c>
      <c r="F10" s="178"/>
    </row>
    <row r="11" ht="12.75" customHeight="1">
      <c r="A11" s="127" t="s">
        <v>390</v>
      </c>
      <c r="B11" s="175" t="s">
        <v>24</v>
      </c>
      <c r="C11" s="176">
        <v>1.0</v>
      </c>
      <c r="D11" s="176">
        <v>2021.0</v>
      </c>
      <c r="E11" s="175" t="s">
        <v>314</v>
      </c>
      <c r="F11" s="178"/>
    </row>
    <row r="12" ht="12.75" customHeight="1">
      <c r="A12" s="127" t="s">
        <v>391</v>
      </c>
      <c r="B12" s="175" t="s">
        <v>24</v>
      </c>
      <c r="C12" s="176">
        <v>4.0</v>
      </c>
      <c r="D12" s="176">
        <v>2022.0</v>
      </c>
      <c r="E12" s="179" t="s">
        <v>323</v>
      </c>
      <c r="F12" s="178"/>
      <c r="G12" s="129" t="s">
        <v>129</v>
      </c>
    </row>
    <row r="13" ht="12.75" customHeight="1">
      <c r="A13" s="212"/>
      <c r="B13" s="188"/>
      <c r="C13" s="188"/>
      <c r="D13" s="188"/>
      <c r="E13" s="188"/>
      <c r="F13" s="183"/>
      <c r="G13" s="129"/>
    </row>
    <row r="14" ht="12.75" customHeight="1">
      <c r="A14" s="137" t="s">
        <v>392</v>
      </c>
      <c r="B14" s="184" t="s">
        <v>63</v>
      </c>
      <c r="C14" s="185">
        <v>20.0</v>
      </c>
      <c r="D14" s="182">
        <v>2021.0</v>
      </c>
      <c r="E14" s="181" t="s">
        <v>314</v>
      </c>
      <c r="F14" s="183"/>
      <c r="G14" s="129"/>
    </row>
    <row r="15" ht="12.75" customHeight="1">
      <c r="A15" s="137" t="s">
        <v>393</v>
      </c>
      <c r="B15" s="184" t="s">
        <v>63</v>
      </c>
      <c r="C15" s="185">
        <v>24.0</v>
      </c>
      <c r="D15" s="182">
        <v>2021.0</v>
      </c>
      <c r="E15" s="181" t="s">
        <v>314</v>
      </c>
      <c r="F15" s="183"/>
      <c r="G15" s="129"/>
    </row>
    <row r="16" ht="12.75" customHeight="1">
      <c r="A16" s="137" t="s">
        <v>394</v>
      </c>
      <c r="B16" s="184" t="s">
        <v>63</v>
      </c>
      <c r="C16" s="185">
        <v>3.0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395</v>
      </c>
      <c r="B17" s="184" t="s">
        <v>63</v>
      </c>
      <c r="C17" s="185">
        <v>1.0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396</v>
      </c>
      <c r="B18" s="184" t="s">
        <v>63</v>
      </c>
      <c r="C18" s="185">
        <v>1.0</v>
      </c>
      <c r="D18" s="182">
        <v>2021.0</v>
      </c>
      <c r="E18" s="181" t="s">
        <v>314</v>
      </c>
      <c r="F18" s="183"/>
      <c r="G18" s="123"/>
    </row>
    <row r="19" ht="12.75" customHeight="1">
      <c r="A19" s="137" t="s">
        <v>397</v>
      </c>
      <c r="B19" s="184" t="s">
        <v>63</v>
      </c>
      <c r="C19" s="185">
        <v>12.0</v>
      </c>
      <c r="D19" s="182">
        <v>2022.0</v>
      </c>
      <c r="E19" s="186" t="s">
        <v>323</v>
      </c>
      <c r="F19" s="183"/>
      <c r="G19" s="123"/>
    </row>
    <row r="20" ht="12.75" customHeight="1">
      <c r="A20" s="137" t="s">
        <v>398</v>
      </c>
      <c r="B20" s="184" t="s">
        <v>63</v>
      </c>
      <c r="C20" s="185">
        <v>8.0</v>
      </c>
      <c r="D20" s="182">
        <v>2022.0</v>
      </c>
      <c r="E20" s="186" t="s">
        <v>323</v>
      </c>
      <c r="F20" s="183"/>
      <c r="G20" s="123"/>
    </row>
    <row r="21" ht="12.75" customHeight="1">
      <c r="A21" s="206"/>
      <c r="B21" s="183"/>
      <c r="C21" s="183"/>
      <c r="D21" s="207"/>
      <c r="E21" s="207"/>
      <c r="F21" s="183"/>
      <c r="G21" s="123" t="s">
        <v>129</v>
      </c>
    </row>
    <row r="22" ht="12.75" customHeight="1">
      <c r="A22" s="143" t="s">
        <v>399</v>
      </c>
      <c r="B22" s="190" t="s">
        <v>111</v>
      </c>
      <c r="C22" s="191">
        <v>24.0</v>
      </c>
      <c r="D22" s="191">
        <v>2021.0</v>
      </c>
      <c r="E22" s="190" t="s">
        <v>314</v>
      </c>
      <c r="F22" s="192"/>
      <c r="G22" s="123" t="s">
        <v>129</v>
      </c>
    </row>
    <row r="23" ht="12.75" customHeight="1">
      <c r="A23" s="143" t="s">
        <v>400</v>
      </c>
      <c r="B23" s="190" t="s">
        <v>111</v>
      </c>
      <c r="C23" s="191">
        <v>2.0</v>
      </c>
      <c r="D23" s="191">
        <v>2021.0</v>
      </c>
      <c r="E23" s="190" t="s">
        <v>314</v>
      </c>
      <c r="F23" s="192"/>
      <c r="G23" s="123" t="s">
        <v>319</v>
      </c>
    </row>
    <row r="24" ht="12.75" customHeight="1">
      <c r="A24" s="143" t="s">
        <v>401</v>
      </c>
      <c r="B24" s="190" t="s">
        <v>111</v>
      </c>
      <c r="C24" s="191">
        <v>5.0</v>
      </c>
      <c r="D24" s="191">
        <v>2022.0</v>
      </c>
      <c r="E24" s="193" t="s">
        <v>323</v>
      </c>
      <c r="F24" s="192"/>
      <c r="G24" s="123"/>
    </row>
    <row r="25" ht="12.75" customHeight="1">
      <c r="A25" s="213"/>
      <c r="B25" s="214"/>
      <c r="C25" s="214"/>
      <c r="D25" s="214"/>
      <c r="E25" s="189"/>
      <c r="F25" s="192"/>
      <c r="G25" s="123"/>
    </row>
    <row r="26" ht="12.75" customHeight="1">
      <c r="A26" s="194" t="s">
        <v>402</v>
      </c>
      <c r="B26" s="195" t="s">
        <v>124</v>
      </c>
      <c r="C26" s="196">
        <v>1.0</v>
      </c>
      <c r="D26" s="196">
        <v>2021.0</v>
      </c>
      <c r="E26" s="195" t="s">
        <v>314</v>
      </c>
      <c r="F26" s="197"/>
      <c r="G26" s="123"/>
    </row>
    <row r="27" ht="12.75" customHeight="1">
      <c r="A27" s="194" t="s">
        <v>403</v>
      </c>
      <c r="B27" s="195" t="s">
        <v>124</v>
      </c>
      <c r="C27" s="196">
        <v>1.0</v>
      </c>
      <c r="D27" s="196">
        <v>2021.0</v>
      </c>
      <c r="E27" s="195" t="s">
        <v>314</v>
      </c>
      <c r="F27" s="197"/>
      <c r="G27" s="123"/>
    </row>
    <row r="28" ht="12.75" customHeight="1">
      <c r="A28" s="151" t="s">
        <v>136</v>
      </c>
      <c r="B28" s="200" t="s">
        <v>133</v>
      </c>
      <c r="C28" s="208">
        <v>1.0</v>
      </c>
      <c r="D28" s="208">
        <v>2021.0</v>
      </c>
      <c r="E28" s="200" t="s">
        <v>314</v>
      </c>
      <c r="F28" s="201"/>
      <c r="G28" s="123" t="s">
        <v>129</v>
      </c>
    </row>
    <row r="29" ht="12.75" customHeight="1">
      <c r="A29" s="151" t="s">
        <v>140</v>
      </c>
      <c r="B29" s="200" t="s">
        <v>133</v>
      </c>
      <c r="C29" s="208">
        <v>1.0</v>
      </c>
      <c r="D29" s="208">
        <v>2021.0</v>
      </c>
      <c r="E29" s="200" t="s">
        <v>314</v>
      </c>
      <c r="F29" s="201"/>
      <c r="G29" s="129" t="s">
        <v>129</v>
      </c>
    </row>
    <row r="30" ht="12.75" customHeight="1">
      <c r="A30" s="209"/>
      <c r="B30" s="210"/>
      <c r="C30" s="210"/>
      <c r="D30" s="210"/>
      <c r="E30" s="210"/>
      <c r="F30" s="210"/>
      <c r="G30" s="129"/>
    </row>
    <row r="31" ht="12.75" customHeight="1">
      <c r="A31" s="156" t="s">
        <v>332</v>
      </c>
      <c r="B31" s="157"/>
      <c r="C31" s="157"/>
      <c r="D31" s="157"/>
      <c r="E31" s="157"/>
      <c r="F31" s="157"/>
      <c r="G31" s="123" t="s">
        <v>129</v>
      </c>
    </row>
    <row r="32" ht="12.75" customHeight="1">
      <c r="A32" s="159" t="s">
        <v>404</v>
      </c>
      <c r="B32" s="160"/>
      <c r="C32" s="161">
        <v>15.0</v>
      </c>
      <c r="D32" s="161">
        <v>2021.0</v>
      </c>
      <c r="E32" s="163" t="s">
        <v>314</v>
      </c>
      <c r="F32" s="157"/>
      <c r="G32" s="123" t="s">
        <v>129</v>
      </c>
    </row>
    <row r="33" ht="12.75" customHeight="1">
      <c r="A33" s="166"/>
      <c r="B33" s="160"/>
      <c r="C33" s="157"/>
      <c r="D33" s="157"/>
      <c r="E33" s="157"/>
      <c r="F33" s="157"/>
      <c r="G33" s="123" t="s">
        <v>129</v>
      </c>
    </row>
    <row r="34" ht="12.75" customHeight="1">
      <c r="A34" s="166"/>
      <c r="B34" s="160"/>
      <c r="C34" s="157"/>
      <c r="D34" s="157"/>
      <c r="E34" s="157"/>
      <c r="F34" s="157"/>
      <c r="G34" s="123" t="s">
        <v>129</v>
      </c>
    </row>
    <row r="35" ht="12.75" customHeight="1">
      <c r="A35" s="165"/>
      <c r="B35" s="160"/>
      <c r="C35" s="158"/>
      <c r="D35" s="157"/>
      <c r="E35" s="157"/>
      <c r="F35" s="157"/>
    </row>
    <row r="36" ht="12.75" customHeight="1">
      <c r="A36" s="166"/>
      <c r="B36" s="160"/>
      <c r="C36" s="157"/>
      <c r="D36" s="157"/>
      <c r="E36" s="157"/>
      <c r="F36" s="157"/>
    </row>
    <row r="37" ht="12.75" customHeight="1">
      <c r="A37" s="165"/>
      <c r="B37" s="160"/>
      <c r="C37" s="158"/>
      <c r="D37" s="157"/>
      <c r="E37" s="157"/>
      <c r="F37" s="157"/>
    </row>
    <row r="38" ht="12.75" customHeight="1">
      <c r="A38" s="166"/>
      <c r="B38" s="164"/>
      <c r="C38" s="158"/>
      <c r="D38" s="167"/>
      <c r="E38" s="167"/>
      <c r="F38" s="167"/>
    </row>
    <row r="39" ht="12.75" customHeight="1">
      <c r="A39" s="165"/>
      <c r="B39" s="164"/>
      <c r="C39" s="158"/>
      <c r="D39" s="157"/>
      <c r="E39" s="157"/>
      <c r="F39" s="167"/>
    </row>
    <row r="40" ht="12.75" customHeight="1">
      <c r="A40" s="166"/>
      <c r="B40" s="164"/>
      <c r="C40" s="157"/>
      <c r="D40" s="167"/>
      <c r="E40" s="167"/>
      <c r="F40" s="167"/>
    </row>
    <row r="41" ht="12.75" customHeight="1">
      <c r="A41" s="168" t="s">
        <v>339</v>
      </c>
      <c r="B41" s="169"/>
      <c r="C41" s="170">
        <v>201.0</v>
      </c>
      <c r="D41" s="169"/>
      <c r="E41" s="169"/>
      <c r="F41" s="169"/>
    </row>
    <row r="42" ht="12.75" customHeight="1">
      <c r="A42" s="211"/>
      <c r="B42" s="211"/>
      <c r="C42" s="170">
        <v>0.0</v>
      </c>
      <c r="D42" s="204"/>
      <c r="E42" s="204"/>
      <c r="F42" s="211"/>
    </row>
    <row r="43" ht="12.75" customHeight="1">
      <c r="A43" s="168" t="s">
        <v>340</v>
      </c>
      <c r="B43" s="211"/>
      <c r="C43" s="170">
        <v>49.0</v>
      </c>
      <c r="D43" s="211"/>
      <c r="E43" s="211"/>
      <c r="F43" s="211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4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405</v>
      </c>
      <c r="B3" s="172" t="s">
        <v>9</v>
      </c>
      <c r="C3" s="173">
        <v>7.0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406</v>
      </c>
      <c r="B4" s="172" t="s">
        <v>9</v>
      </c>
      <c r="C4" s="173">
        <v>1.0</v>
      </c>
      <c r="D4" s="173">
        <v>2021.0</v>
      </c>
      <c r="E4" s="172" t="s">
        <v>314</v>
      </c>
      <c r="F4" s="174"/>
      <c r="G4" s="123"/>
    </row>
    <row r="5" ht="12.75" customHeight="1">
      <c r="A5" s="125"/>
      <c r="B5" s="174"/>
      <c r="C5" s="174"/>
      <c r="D5" s="174"/>
      <c r="E5" s="178"/>
      <c r="F5" s="174"/>
      <c r="G5" s="123" t="s">
        <v>129</v>
      </c>
    </row>
    <row r="6" ht="12.75" customHeight="1">
      <c r="A6" s="127" t="s">
        <v>407</v>
      </c>
      <c r="B6" s="175" t="s">
        <v>24</v>
      </c>
      <c r="C6" s="176">
        <v>44.0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408</v>
      </c>
      <c r="B7" s="175" t="s">
        <v>24</v>
      </c>
      <c r="C7" s="176">
        <v>30.0</v>
      </c>
      <c r="D7" s="176">
        <v>2021.0</v>
      </c>
      <c r="E7" s="175" t="s">
        <v>314</v>
      </c>
      <c r="F7" s="178"/>
      <c r="G7" s="123" t="s">
        <v>129</v>
      </c>
    </row>
    <row r="8" ht="12.75" customHeight="1">
      <c r="A8" s="127" t="s">
        <v>409</v>
      </c>
      <c r="B8" s="175" t="s">
        <v>24</v>
      </c>
      <c r="C8" s="176">
        <v>30.0</v>
      </c>
      <c r="D8" s="176">
        <v>2021.0</v>
      </c>
      <c r="E8" s="175" t="s">
        <v>314</v>
      </c>
      <c r="F8" s="178"/>
      <c r="G8" s="123" t="s">
        <v>319</v>
      </c>
    </row>
    <row r="9" ht="12.75" customHeight="1">
      <c r="A9" s="127" t="s">
        <v>410</v>
      </c>
      <c r="B9" s="175" t="s">
        <v>24</v>
      </c>
      <c r="C9" s="176">
        <v>5.0</v>
      </c>
      <c r="D9" s="176">
        <v>2021.0</v>
      </c>
      <c r="E9" s="175" t="s">
        <v>314</v>
      </c>
      <c r="F9" s="178"/>
      <c r="G9" s="129"/>
    </row>
    <row r="10" ht="12.75" customHeight="1">
      <c r="A10" s="127" t="s">
        <v>46</v>
      </c>
      <c r="B10" s="175" t="s">
        <v>24</v>
      </c>
      <c r="C10" s="176">
        <v>5.0</v>
      </c>
      <c r="D10" s="176">
        <v>2021.0</v>
      </c>
      <c r="E10" s="175" t="s">
        <v>314</v>
      </c>
      <c r="F10" s="178"/>
      <c r="G10" s="129" t="s">
        <v>129</v>
      </c>
    </row>
    <row r="11" ht="12.75" customHeight="1">
      <c r="A11" s="127" t="s">
        <v>411</v>
      </c>
      <c r="B11" s="175" t="s">
        <v>24</v>
      </c>
      <c r="C11" s="176">
        <v>4.0</v>
      </c>
      <c r="D11" s="176">
        <v>2021.0</v>
      </c>
      <c r="E11" s="175" t="s">
        <v>314</v>
      </c>
      <c r="F11" s="178"/>
    </row>
    <row r="12" ht="12.75" customHeight="1">
      <c r="A12" s="127" t="s">
        <v>60</v>
      </c>
      <c r="B12" s="175" t="s">
        <v>24</v>
      </c>
      <c r="C12" s="176">
        <v>12.0</v>
      </c>
      <c r="D12" s="176">
        <v>2022.0</v>
      </c>
      <c r="E12" s="179" t="s">
        <v>315</v>
      </c>
      <c r="F12" s="178"/>
    </row>
    <row r="13" ht="12.75" customHeight="1">
      <c r="A13" s="127" t="s">
        <v>412</v>
      </c>
      <c r="B13" s="175" t="s">
        <v>24</v>
      </c>
      <c r="C13" s="176">
        <v>4.0</v>
      </c>
      <c r="D13" s="176">
        <v>2022.0</v>
      </c>
      <c r="E13" s="179" t="s">
        <v>315</v>
      </c>
      <c r="F13" s="178"/>
    </row>
    <row r="14" ht="12.75" customHeight="1">
      <c r="A14" s="127" t="s">
        <v>413</v>
      </c>
      <c r="B14" s="175" t="s">
        <v>24</v>
      </c>
      <c r="C14" s="176">
        <v>3.0</v>
      </c>
      <c r="D14" s="176">
        <v>2022.0</v>
      </c>
      <c r="E14" s="179" t="s">
        <v>315</v>
      </c>
      <c r="F14" s="178"/>
      <c r="G14" s="129" t="s">
        <v>129</v>
      </c>
    </row>
    <row r="15" ht="12.75" customHeight="1">
      <c r="A15" s="132"/>
      <c r="B15" s="215"/>
      <c r="C15" s="215"/>
      <c r="D15" s="215"/>
      <c r="E15" s="215"/>
      <c r="F15" s="178"/>
      <c r="G15" s="129"/>
    </row>
    <row r="16" ht="12.75" customHeight="1">
      <c r="A16" s="135" t="s">
        <v>414</v>
      </c>
      <c r="B16" s="181" t="s">
        <v>63</v>
      </c>
      <c r="C16" s="182">
        <v>27.0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415</v>
      </c>
      <c r="B17" s="184" t="s">
        <v>63</v>
      </c>
      <c r="C17" s="185">
        <v>16.0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416</v>
      </c>
      <c r="B18" s="184" t="s">
        <v>63</v>
      </c>
      <c r="C18" s="185">
        <v>14.0</v>
      </c>
      <c r="D18" s="182">
        <v>2021.0</v>
      </c>
      <c r="E18" s="181" t="s">
        <v>314</v>
      </c>
      <c r="F18" s="183"/>
      <c r="G18" s="123"/>
    </row>
    <row r="19" ht="12.75" customHeight="1">
      <c r="A19" s="137" t="s">
        <v>92</v>
      </c>
      <c r="B19" s="184" t="s">
        <v>63</v>
      </c>
      <c r="C19" s="185">
        <v>3.0</v>
      </c>
      <c r="D19" s="182">
        <v>2021.0</v>
      </c>
      <c r="E19" s="181" t="s">
        <v>314</v>
      </c>
      <c r="F19" s="183"/>
      <c r="G19" s="123"/>
    </row>
    <row r="20" ht="12.75" customHeight="1">
      <c r="A20" s="135" t="s">
        <v>417</v>
      </c>
      <c r="B20" s="184" t="s">
        <v>63</v>
      </c>
      <c r="C20" s="185">
        <v>1.0</v>
      </c>
      <c r="D20" s="182">
        <v>2021.0</v>
      </c>
      <c r="E20" s="181" t="s">
        <v>314</v>
      </c>
      <c r="F20" s="183"/>
      <c r="G20" s="123"/>
    </row>
    <row r="21" ht="12.75" customHeight="1">
      <c r="A21" s="135" t="s">
        <v>304</v>
      </c>
      <c r="B21" s="184" t="s">
        <v>63</v>
      </c>
      <c r="C21" s="185">
        <v>7.0</v>
      </c>
      <c r="D21" s="182">
        <v>2022.0</v>
      </c>
      <c r="E21" s="186" t="s">
        <v>323</v>
      </c>
      <c r="F21" s="183"/>
      <c r="G21" s="123"/>
    </row>
    <row r="22" ht="12.75" customHeight="1">
      <c r="A22" s="135" t="s">
        <v>405</v>
      </c>
      <c r="B22" s="184" t="s">
        <v>63</v>
      </c>
      <c r="C22" s="185">
        <v>1.0</v>
      </c>
      <c r="D22" s="182">
        <v>2021.0</v>
      </c>
      <c r="E22" s="181" t="s">
        <v>314</v>
      </c>
      <c r="F22" s="183"/>
      <c r="G22" s="123"/>
    </row>
    <row r="23" ht="12.75" customHeight="1">
      <c r="A23" s="137" t="s">
        <v>418</v>
      </c>
      <c r="B23" s="184" t="s">
        <v>63</v>
      </c>
      <c r="C23" s="185">
        <v>1.0</v>
      </c>
      <c r="D23" s="182">
        <v>2021.0</v>
      </c>
      <c r="E23" s="181" t="s">
        <v>314</v>
      </c>
      <c r="F23" s="183"/>
      <c r="G23" s="123" t="s">
        <v>129</v>
      </c>
    </row>
    <row r="24" ht="12.75" customHeight="1">
      <c r="A24" s="137" t="s">
        <v>419</v>
      </c>
      <c r="B24" s="184" t="s">
        <v>63</v>
      </c>
      <c r="C24" s="185">
        <v>4.0</v>
      </c>
      <c r="D24" s="182">
        <v>2022.0</v>
      </c>
      <c r="E24" s="186" t="s">
        <v>315</v>
      </c>
      <c r="F24" s="183"/>
      <c r="G24" s="123" t="s">
        <v>129</v>
      </c>
    </row>
    <row r="25" ht="12.75" customHeight="1">
      <c r="A25" s="137" t="s">
        <v>420</v>
      </c>
      <c r="B25" s="184" t="s">
        <v>63</v>
      </c>
      <c r="C25" s="185">
        <v>2.0</v>
      </c>
      <c r="D25" s="182">
        <v>2022.0</v>
      </c>
      <c r="E25" s="186" t="s">
        <v>315</v>
      </c>
      <c r="F25" s="183"/>
      <c r="G25" s="123"/>
    </row>
    <row r="26" ht="12.75" customHeight="1">
      <c r="A26" s="140"/>
      <c r="B26" s="187"/>
      <c r="C26" s="187"/>
      <c r="D26" s="188"/>
      <c r="E26" s="215"/>
      <c r="F26" s="183"/>
      <c r="G26" s="123"/>
    </row>
    <row r="27" ht="12.75" customHeight="1">
      <c r="A27" s="143" t="s">
        <v>421</v>
      </c>
      <c r="B27" s="190" t="s">
        <v>111</v>
      </c>
      <c r="C27" s="191">
        <v>7.0</v>
      </c>
      <c r="D27" s="191">
        <v>2021.0</v>
      </c>
      <c r="E27" s="190" t="s">
        <v>314</v>
      </c>
      <c r="F27" s="192"/>
      <c r="G27" s="123" t="s">
        <v>319</v>
      </c>
    </row>
    <row r="28" ht="12.75" customHeight="1">
      <c r="A28" s="143" t="s">
        <v>422</v>
      </c>
      <c r="B28" s="190" t="s">
        <v>111</v>
      </c>
      <c r="C28" s="191">
        <v>6.0</v>
      </c>
      <c r="D28" s="191">
        <v>2022.0</v>
      </c>
      <c r="E28" s="193" t="s">
        <v>315</v>
      </c>
      <c r="F28" s="192"/>
      <c r="G28" s="123" t="s">
        <v>129</v>
      </c>
    </row>
    <row r="29" ht="12.75" customHeight="1">
      <c r="A29" s="145"/>
      <c r="B29" s="192"/>
      <c r="C29" s="192"/>
      <c r="D29" s="192"/>
      <c r="E29" s="178"/>
      <c r="F29" s="192"/>
      <c r="G29" s="123"/>
    </row>
    <row r="30" ht="12.75" customHeight="1">
      <c r="A30" s="194" t="s">
        <v>423</v>
      </c>
      <c r="B30" s="195" t="s">
        <v>124</v>
      </c>
      <c r="C30" s="196">
        <v>1.0</v>
      </c>
      <c r="D30" s="196">
        <v>2021.0</v>
      </c>
      <c r="E30" s="195" t="s">
        <v>314</v>
      </c>
      <c r="F30" s="197"/>
      <c r="G30" s="129" t="s">
        <v>129</v>
      </c>
    </row>
    <row r="31" ht="12.75" customHeight="1">
      <c r="A31" s="194" t="s">
        <v>424</v>
      </c>
      <c r="B31" s="195" t="s">
        <v>124</v>
      </c>
      <c r="C31" s="196">
        <v>4.0</v>
      </c>
      <c r="D31" s="196">
        <v>2022.0</v>
      </c>
      <c r="E31" s="216" t="s">
        <v>323</v>
      </c>
      <c r="F31" s="197"/>
      <c r="G31" s="123" t="s">
        <v>129</v>
      </c>
    </row>
    <row r="32" ht="12.75" customHeight="1">
      <c r="A32" s="147"/>
      <c r="B32" s="197"/>
      <c r="C32" s="217"/>
      <c r="D32" s="217"/>
      <c r="E32" s="215"/>
      <c r="F32" s="197"/>
      <c r="G32" s="123" t="s">
        <v>129</v>
      </c>
    </row>
    <row r="33" ht="12.75" customHeight="1">
      <c r="A33" s="151" t="s">
        <v>137</v>
      </c>
      <c r="B33" s="200" t="s">
        <v>133</v>
      </c>
      <c r="C33" s="208">
        <v>2.0</v>
      </c>
      <c r="D33" s="208">
        <v>2021.0</v>
      </c>
      <c r="E33" s="175" t="s">
        <v>314</v>
      </c>
      <c r="F33" s="201"/>
      <c r="G33" s="123" t="s">
        <v>129</v>
      </c>
    </row>
    <row r="34" ht="12.75" customHeight="1">
      <c r="A34" s="153"/>
      <c r="B34" s="201"/>
      <c r="C34" s="202"/>
      <c r="D34" s="202"/>
      <c r="E34" s="215"/>
      <c r="F34" s="201"/>
      <c r="G34" s="123" t="s">
        <v>129</v>
      </c>
    </row>
    <row r="35" ht="12.75" customHeight="1">
      <c r="A35" s="218"/>
      <c r="B35" s="210"/>
      <c r="C35" s="219"/>
      <c r="D35" s="219"/>
      <c r="E35" s="215"/>
      <c r="F35" s="210"/>
    </row>
    <row r="36" ht="12.75" customHeight="1">
      <c r="A36" s="156" t="s">
        <v>332</v>
      </c>
      <c r="B36" s="157"/>
      <c r="C36" s="158"/>
      <c r="D36" s="158"/>
      <c r="E36" s="158"/>
      <c r="F36" s="157"/>
    </row>
    <row r="37" ht="12.75" customHeight="1">
      <c r="A37" s="159" t="s">
        <v>425</v>
      </c>
      <c r="B37" s="160"/>
      <c r="C37" s="161">
        <v>1.0</v>
      </c>
      <c r="D37" s="161">
        <v>2021.0</v>
      </c>
      <c r="E37" s="163" t="s">
        <v>314</v>
      </c>
      <c r="F37" s="157"/>
    </row>
    <row r="38" ht="12.75" customHeight="1">
      <c r="A38" s="159" t="s">
        <v>150</v>
      </c>
      <c r="B38" s="164"/>
      <c r="C38" s="161">
        <v>1.0</v>
      </c>
      <c r="D38" s="161">
        <v>2021.0</v>
      </c>
      <c r="E38" s="163" t="s">
        <v>314</v>
      </c>
      <c r="F38" s="167"/>
    </row>
    <row r="39" ht="12.75" customHeight="1">
      <c r="A39" s="159" t="s">
        <v>160</v>
      </c>
      <c r="B39" s="164"/>
      <c r="C39" s="161">
        <v>1.0</v>
      </c>
      <c r="D39" s="161">
        <v>2021.0</v>
      </c>
      <c r="E39" s="163" t="s">
        <v>314</v>
      </c>
      <c r="F39" s="167"/>
    </row>
    <row r="40" ht="12.75" customHeight="1">
      <c r="A40" s="159" t="s">
        <v>96</v>
      </c>
      <c r="B40" s="164"/>
      <c r="C40" s="161">
        <v>1.0</v>
      </c>
      <c r="D40" s="161">
        <v>2021.0</v>
      </c>
      <c r="E40" s="163" t="s">
        <v>314</v>
      </c>
      <c r="F40" s="167"/>
    </row>
    <row r="41" ht="12.75" customHeight="1">
      <c r="A41" s="159" t="s">
        <v>60</v>
      </c>
      <c r="B41" s="164"/>
      <c r="C41" s="161">
        <v>1.0</v>
      </c>
      <c r="D41" s="161">
        <v>2021.0</v>
      </c>
      <c r="E41" s="163" t="s">
        <v>314</v>
      </c>
      <c r="F41" s="167"/>
    </row>
    <row r="42" ht="12.75" customHeight="1">
      <c r="A42" s="220"/>
      <c r="B42" s="164"/>
      <c r="C42" s="158"/>
      <c r="D42" s="167"/>
      <c r="E42" s="167"/>
      <c r="F42" s="167"/>
    </row>
    <row r="43" ht="12.75" customHeight="1">
      <c r="A43" s="165"/>
      <c r="B43" s="164"/>
      <c r="C43" s="158"/>
      <c r="D43" s="167"/>
      <c r="E43" s="167"/>
      <c r="F43" s="167"/>
    </row>
    <row r="44" ht="12.75" customHeight="1">
      <c r="A44" s="220"/>
      <c r="B44" s="164"/>
      <c r="C44" s="167"/>
      <c r="D44" s="167"/>
      <c r="E44" s="167"/>
      <c r="F44" s="167"/>
    </row>
    <row r="45" ht="12.75" customHeight="1">
      <c r="A45" s="220"/>
      <c r="B45" s="164"/>
      <c r="C45" s="167"/>
      <c r="D45" s="167"/>
      <c r="E45" s="167"/>
      <c r="F45" s="167"/>
    </row>
    <row r="46" ht="12.75" customHeight="1">
      <c r="A46" s="168" t="s">
        <v>339</v>
      </c>
      <c r="B46" s="169"/>
      <c r="C46" s="170">
        <v>238.0</v>
      </c>
      <c r="D46" s="169"/>
      <c r="E46" s="169"/>
      <c r="F46" s="169"/>
    </row>
    <row r="47" ht="12.75" customHeight="1">
      <c r="A47" s="169"/>
      <c r="B47" s="169"/>
      <c r="C47" s="170">
        <v>0.0</v>
      </c>
      <c r="D47" s="171"/>
      <c r="E47" s="171"/>
      <c r="F47" s="169"/>
    </row>
    <row r="48" ht="12.75" customHeight="1">
      <c r="A48" s="168" t="s">
        <v>340</v>
      </c>
      <c r="B48" s="169"/>
      <c r="C48" s="170">
        <v>12.0</v>
      </c>
      <c r="D48" s="169"/>
      <c r="E48" s="169"/>
      <c r="F48" s="16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5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426</v>
      </c>
      <c r="B3" s="172" t="s">
        <v>9</v>
      </c>
      <c r="C3" s="173">
        <v>16.0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427</v>
      </c>
      <c r="B4" s="172" t="s">
        <v>9</v>
      </c>
      <c r="C4" s="173">
        <v>3.0</v>
      </c>
      <c r="D4" s="173">
        <v>2022.0</v>
      </c>
      <c r="E4" s="205" t="s">
        <v>323</v>
      </c>
      <c r="F4" s="174"/>
      <c r="G4" s="123"/>
    </row>
    <row r="5" ht="12.75" customHeight="1">
      <c r="A5" s="125"/>
      <c r="B5" s="174"/>
      <c r="C5" s="174"/>
      <c r="D5" s="174"/>
      <c r="E5" s="192"/>
      <c r="F5" s="174"/>
      <c r="G5" s="123" t="s">
        <v>129</v>
      </c>
    </row>
    <row r="6" ht="12.75" customHeight="1">
      <c r="A6" s="127" t="s">
        <v>428</v>
      </c>
      <c r="B6" s="175" t="s">
        <v>24</v>
      </c>
      <c r="C6" s="176">
        <v>50.0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429</v>
      </c>
      <c r="B7" s="175" t="s">
        <v>24</v>
      </c>
      <c r="C7" s="176">
        <v>32.0</v>
      </c>
      <c r="D7" s="176">
        <v>2021.0</v>
      </c>
      <c r="E7" s="175" t="s">
        <v>314</v>
      </c>
      <c r="F7" s="178"/>
      <c r="G7" s="123" t="s">
        <v>129</v>
      </c>
    </row>
    <row r="8" ht="12.75" customHeight="1">
      <c r="A8" s="127" t="s">
        <v>430</v>
      </c>
      <c r="B8" s="175" t="s">
        <v>24</v>
      </c>
      <c r="C8" s="176">
        <v>6.0</v>
      </c>
      <c r="D8" s="176">
        <v>2021.0</v>
      </c>
      <c r="E8" s="175" t="s">
        <v>314</v>
      </c>
      <c r="F8" s="178"/>
      <c r="G8" s="123" t="s">
        <v>319</v>
      </c>
    </row>
    <row r="9" ht="12.75" customHeight="1">
      <c r="A9" s="127" t="s">
        <v>47</v>
      </c>
      <c r="B9" s="175" t="s">
        <v>24</v>
      </c>
      <c r="C9" s="176">
        <v>9.0</v>
      </c>
      <c r="D9" s="176">
        <v>2022.0</v>
      </c>
      <c r="E9" s="179" t="s">
        <v>323</v>
      </c>
      <c r="F9" s="178"/>
      <c r="G9" s="129"/>
    </row>
    <row r="10" ht="12.75" customHeight="1">
      <c r="A10" s="127" t="s">
        <v>431</v>
      </c>
      <c r="B10" s="175" t="s">
        <v>24</v>
      </c>
      <c r="C10" s="176">
        <v>5.0</v>
      </c>
      <c r="D10" s="176">
        <v>2022.0</v>
      </c>
      <c r="E10" s="179" t="s">
        <v>323</v>
      </c>
      <c r="F10" s="178"/>
      <c r="G10" s="129" t="s">
        <v>129</v>
      </c>
    </row>
    <row r="11" ht="12.75" customHeight="1">
      <c r="A11" s="132"/>
      <c r="B11" s="215"/>
      <c r="C11" s="215"/>
      <c r="D11" s="215"/>
      <c r="E11" s="214"/>
      <c r="F11" s="178"/>
    </row>
    <row r="12" ht="12.75" customHeight="1">
      <c r="A12" s="135" t="s">
        <v>69</v>
      </c>
      <c r="B12" s="181" t="s">
        <v>63</v>
      </c>
      <c r="C12" s="182">
        <v>31.0</v>
      </c>
      <c r="D12" s="182">
        <v>2021.0</v>
      </c>
      <c r="E12" s="181" t="s">
        <v>314</v>
      </c>
      <c r="F12" s="183"/>
    </row>
    <row r="13" ht="12.75" customHeight="1">
      <c r="A13" s="137" t="s">
        <v>432</v>
      </c>
      <c r="B13" s="184" t="s">
        <v>63</v>
      </c>
      <c r="C13" s="185">
        <v>6.0</v>
      </c>
      <c r="D13" s="182">
        <v>2021.0</v>
      </c>
      <c r="E13" s="181" t="s">
        <v>314</v>
      </c>
      <c r="F13" s="183"/>
    </row>
    <row r="14" ht="12.75" customHeight="1">
      <c r="A14" s="137" t="s">
        <v>433</v>
      </c>
      <c r="B14" s="184" t="s">
        <v>63</v>
      </c>
      <c r="C14" s="185">
        <v>7.0</v>
      </c>
      <c r="D14" s="182">
        <v>2021.0</v>
      </c>
      <c r="E14" s="181" t="s">
        <v>314</v>
      </c>
      <c r="F14" s="183"/>
      <c r="G14" s="129" t="s">
        <v>129</v>
      </c>
    </row>
    <row r="15" ht="12.75" customHeight="1">
      <c r="A15" s="137" t="s">
        <v>434</v>
      </c>
      <c r="B15" s="184" t="s">
        <v>63</v>
      </c>
      <c r="C15" s="185">
        <v>3.0</v>
      </c>
      <c r="D15" s="182">
        <v>2021.0</v>
      </c>
      <c r="E15" s="181" t="s">
        <v>314</v>
      </c>
      <c r="F15" s="183"/>
      <c r="G15" s="129"/>
    </row>
    <row r="16" ht="12.75" customHeight="1">
      <c r="A16" s="137" t="s">
        <v>435</v>
      </c>
      <c r="B16" s="184" t="s">
        <v>63</v>
      </c>
      <c r="C16" s="185">
        <v>1.0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436</v>
      </c>
      <c r="B17" s="184" t="s">
        <v>63</v>
      </c>
      <c r="C17" s="185">
        <v>5.0</v>
      </c>
      <c r="D17" s="182">
        <v>2022.0</v>
      </c>
      <c r="E17" s="186" t="s">
        <v>323</v>
      </c>
      <c r="F17" s="183"/>
      <c r="G17" s="123" t="s">
        <v>129</v>
      </c>
    </row>
    <row r="18" ht="12.75" customHeight="1">
      <c r="A18" s="206"/>
      <c r="B18" s="183"/>
      <c r="C18" s="183"/>
      <c r="D18" s="207"/>
      <c r="E18" s="192"/>
      <c r="F18" s="183"/>
      <c r="G18" s="123"/>
    </row>
    <row r="19" ht="12.75" customHeight="1">
      <c r="A19" s="206"/>
      <c r="B19" s="183"/>
      <c r="C19" s="183"/>
      <c r="D19" s="207"/>
      <c r="E19" s="192"/>
      <c r="F19" s="183"/>
      <c r="G19" s="123"/>
    </row>
    <row r="20" ht="12.75" customHeight="1">
      <c r="A20" s="140"/>
      <c r="B20" s="187"/>
      <c r="C20" s="187"/>
      <c r="D20" s="188"/>
      <c r="E20" s="214"/>
      <c r="F20" s="183"/>
      <c r="G20" s="123"/>
    </row>
    <row r="21" ht="12.75" customHeight="1">
      <c r="A21" s="143" t="s">
        <v>437</v>
      </c>
      <c r="B21" s="190" t="s">
        <v>111</v>
      </c>
      <c r="C21" s="191">
        <v>22.0</v>
      </c>
      <c r="D21" s="191">
        <v>2021.0</v>
      </c>
      <c r="E21" s="190" t="s">
        <v>314</v>
      </c>
      <c r="F21" s="192"/>
      <c r="G21" s="123"/>
    </row>
    <row r="22" ht="12.75" customHeight="1">
      <c r="A22" s="143" t="s">
        <v>438</v>
      </c>
      <c r="B22" s="190" t="s">
        <v>111</v>
      </c>
      <c r="C22" s="191">
        <v>1.0</v>
      </c>
      <c r="D22" s="191">
        <v>2022.0</v>
      </c>
      <c r="E22" s="193" t="s">
        <v>323</v>
      </c>
      <c r="F22" s="192"/>
      <c r="G22" s="123"/>
    </row>
    <row r="23" ht="12.75" customHeight="1">
      <c r="A23" s="145"/>
      <c r="B23" s="192"/>
      <c r="C23" s="192"/>
      <c r="D23" s="192"/>
      <c r="E23" s="192"/>
      <c r="F23" s="192"/>
      <c r="G23" s="123" t="s">
        <v>129</v>
      </c>
    </row>
    <row r="24" ht="12.75" customHeight="1">
      <c r="A24" s="213"/>
      <c r="B24" s="214"/>
      <c r="C24" s="214"/>
      <c r="D24" s="214"/>
      <c r="E24" s="214"/>
      <c r="F24" s="192"/>
      <c r="G24" s="123" t="s">
        <v>129</v>
      </c>
    </row>
    <row r="25" ht="12.75" customHeight="1">
      <c r="A25" s="194" t="s">
        <v>128</v>
      </c>
      <c r="B25" s="195" t="s">
        <v>124</v>
      </c>
      <c r="C25" s="196">
        <v>5.0</v>
      </c>
      <c r="D25" s="196">
        <v>2022.0</v>
      </c>
      <c r="E25" s="216" t="s">
        <v>323</v>
      </c>
      <c r="F25" s="197"/>
      <c r="G25" s="123"/>
    </row>
    <row r="26" ht="12.75" customHeight="1">
      <c r="A26" s="147"/>
      <c r="B26" s="195" t="s">
        <v>124</v>
      </c>
      <c r="C26" s="217"/>
      <c r="D26" s="217"/>
      <c r="E26" s="217"/>
      <c r="F26" s="197"/>
      <c r="G26" s="123"/>
    </row>
    <row r="27" ht="12.75" customHeight="1">
      <c r="A27" s="151" t="s">
        <v>138</v>
      </c>
      <c r="B27" s="200" t="s">
        <v>133</v>
      </c>
      <c r="C27" s="208">
        <v>1.0</v>
      </c>
      <c r="D27" s="208">
        <v>2021.0</v>
      </c>
      <c r="E27" s="200" t="s">
        <v>314</v>
      </c>
      <c r="F27" s="201"/>
      <c r="G27" s="123" t="s">
        <v>319</v>
      </c>
    </row>
    <row r="28" ht="12.75" customHeight="1">
      <c r="A28" s="199"/>
      <c r="B28" s="201"/>
      <c r="C28" s="202"/>
      <c r="D28" s="201"/>
      <c r="E28" s="201"/>
      <c r="F28" s="201"/>
      <c r="G28" s="123" t="s">
        <v>129</v>
      </c>
    </row>
    <row r="29" ht="12.75" customHeight="1">
      <c r="A29" s="218"/>
      <c r="B29" s="210"/>
      <c r="C29" s="219"/>
      <c r="D29" s="210"/>
      <c r="E29" s="210"/>
      <c r="F29" s="210"/>
      <c r="G29" s="123"/>
    </row>
    <row r="30" ht="12.75" customHeight="1">
      <c r="A30" s="156" t="s">
        <v>332</v>
      </c>
      <c r="B30" s="157"/>
      <c r="C30" s="158"/>
      <c r="D30" s="158"/>
      <c r="E30" s="158"/>
      <c r="F30" s="157"/>
      <c r="G30" s="129" t="s">
        <v>129</v>
      </c>
    </row>
    <row r="31" ht="12.75" customHeight="1">
      <c r="A31" s="159" t="s">
        <v>146</v>
      </c>
      <c r="B31" s="160"/>
      <c r="C31" s="161">
        <v>1.0</v>
      </c>
      <c r="D31" s="161">
        <v>2021.0</v>
      </c>
      <c r="E31" s="163" t="s">
        <v>314</v>
      </c>
      <c r="F31" s="157"/>
      <c r="G31" s="123" t="s">
        <v>129</v>
      </c>
    </row>
    <row r="32" ht="12.75" customHeight="1">
      <c r="A32" s="159" t="s">
        <v>151</v>
      </c>
      <c r="B32" s="160"/>
      <c r="C32" s="161">
        <v>1.0</v>
      </c>
      <c r="D32" s="161">
        <v>2021.0</v>
      </c>
      <c r="E32" s="163" t="s">
        <v>314</v>
      </c>
      <c r="F32" s="157"/>
      <c r="G32" s="123" t="s">
        <v>129</v>
      </c>
    </row>
    <row r="33" ht="12.75" customHeight="1">
      <c r="A33" s="159" t="s">
        <v>439</v>
      </c>
      <c r="B33" s="160"/>
      <c r="C33" s="161">
        <v>1.0</v>
      </c>
      <c r="D33" s="161">
        <v>2021.0</v>
      </c>
      <c r="E33" s="163" t="s">
        <v>314</v>
      </c>
      <c r="F33" s="157"/>
      <c r="G33" s="123" t="s">
        <v>129</v>
      </c>
    </row>
    <row r="34" ht="12.75" customHeight="1">
      <c r="A34" s="159" t="s">
        <v>161</v>
      </c>
      <c r="B34" s="160"/>
      <c r="C34" s="161">
        <v>1.0</v>
      </c>
      <c r="D34" s="161">
        <v>2021.0</v>
      </c>
      <c r="E34" s="163" t="s">
        <v>314</v>
      </c>
      <c r="F34" s="157"/>
      <c r="G34" s="123" t="s">
        <v>129</v>
      </c>
    </row>
    <row r="35" ht="12.75" customHeight="1">
      <c r="A35" s="159" t="s">
        <v>166</v>
      </c>
      <c r="B35" s="160"/>
      <c r="C35" s="161">
        <v>1.0</v>
      </c>
      <c r="D35" s="161">
        <v>2021.0</v>
      </c>
      <c r="E35" s="163" t="s">
        <v>314</v>
      </c>
      <c r="F35" s="157"/>
    </row>
    <row r="36" ht="12.75" customHeight="1">
      <c r="A36" s="159" t="s">
        <v>54</v>
      </c>
      <c r="B36" s="160"/>
      <c r="C36" s="161">
        <v>1.0</v>
      </c>
      <c r="D36" s="161">
        <v>2021.0</v>
      </c>
      <c r="E36" s="163" t="s">
        <v>314</v>
      </c>
      <c r="F36" s="157"/>
    </row>
    <row r="37" ht="12.75" customHeight="1">
      <c r="A37" s="159" t="s">
        <v>172</v>
      </c>
      <c r="B37" s="160"/>
      <c r="C37" s="161">
        <v>1.0</v>
      </c>
      <c r="D37" s="161">
        <v>2021.0</v>
      </c>
      <c r="E37" s="163" t="s">
        <v>314</v>
      </c>
      <c r="F37" s="157"/>
    </row>
    <row r="38" ht="12.75" customHeight="1">
      <c r="A38" s="159" t="s">
        <v>440</v>
      </c>
      <c r="B38" s="164"/>
      <c r="C38" s="161">
        <v>1.0</v>
      </c>
      <c r="D38" s="161">
        <v>2021.0</v>
      </c>
      <c r="E38" s="163" t="s">
        <v>314</v>
      </c>
      <c r="F38" s="167"/>
    </row>
    <row r="39" ht="12.75" customHeight="1">
      <c r="A39" s="165"/>
      <c r="B39" s="164"/>
      <c r="C39" s="158"/>
      <c r="D39" s="157"/>
      <c r="E39" s="157"/>
      <c r="F39" s="167"/>
    </row>
    <row r="40" ht="12.75" customHeight="1">
      <c r="A40" s="168" t="s">
        <v>339</v>
      </c>
      <c r="B40" s="169"/>
      <c r="C40" s="170">
        <v>211.0</v>
      </c>
      <c r="D40" s="169"/>
      <c r="E40" s="169"/>
      <c r="F40" s="169"/>
    </row>
    <row r="41" ht="12.75" customHeight="1">
      <c r="A41" s="221"/>
      <c r="B41" s="169"/>
      <c r="C41" s="170">
        <v>0.0</v>
      </c>
      <c r="D41" s="171"/>
      <c r="E41" s="171"/>
      <c r="F41" s="169"/>
    </row>
    <row r="42" ht="12.75" customHeight="1">
      <c r="A42" s="168" t="s">
        <v>340</v>
      </c>
      <c r="B42" s="169"/>
      <c r="C42" s="170">
        <v>39.0</v>
      </c>
      <c r="D42" s="169"/>
      <c r="E42" s="169"/>
      <c r="F42" s="169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180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441</v>
      </c>
      <c r="B3" s="172" t="s">
        <v>9</v>
      </c>
      <c r="C3" s="173">
        <v>11.0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442</v>
      </c>
      <c r="B4" s="172" t="s">
        <v>9</v>
      </c>
      <c r="C4" s="173">
        <v>1.0</v>
      </c>
      <c r="D4" s="173">
        <v>2021.0</v>
      </c>
      <c r="E4" s="172" t="s">
        <v>314</v>
      </c>
      <c r="F4" s="174"/>
      <c r="G4" s="123"/>
    </row>
    <row r="5" ht="12.75" customHeight="1">
      <c r="A5" s="125"/>
      <c r="B5" s="174"/>
      <c r="C5" s="174"/>
      <c r="D5" s="174"/>
      <c r="E5" s="174"/>
      <c r="F5" s="174"/>
      <c r="G5" s="123" t="s">
        <v>129</v>
      </c>
    </row>
    <row r="6" ht="12.75" customHeight="1">
      <c r="A6" s="127" t="s">
        <v>443</v>
      </c>
      <c r="B6" s="175" t="s">
        <v>24</v>
      </c>
      <c r="C6" s="176">
        <v>49.0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444</v>
      </c>
      <c r="B7" s="175" t="s">
        <v>24</v>
      </c>
      <c r="C7" s="176">
        <v>22.0</v>
      </c>
      <c r="D7" s="176">
        <v>2021.0</v>
      </c>
      <c r="E7" s="175" t="s">
        <v>314</v>
      </c>
      <c r="F7" s="177"/>
      <c r="G7" s="123" t="s">
        <v>129</v>
      </c>
    </row>
    <row r="8" ht="12.75" customHeight="1">
      <c r="A8" s="127" t="s">
        <v>445</v>
      </c>
      <c r="B8" s="175" t="s">
        <v>24</v>
      </c>
      <c r="C8" s="176">
        <v>16.0</v>
      </c>
      <c r="D8" s="176">
        <v>2021.0</v>
      </c>
      <c r="E8" s="175" t="s">
        <v>314</v>
      </c>
      <c r="F8" s="177"/>
      <c r="G8" s="123" t="s">
        <v>319</v>
      </c>
    </row>
    <row r="9" ht="12.75" customHeight="1">
      <c r="A9" s="127" t="s">
        <v>446</v>
      </c>
      <c r="B9" s="175" t="s">
        <v>24</v>
      </c>
      <c r="C9" s="176">
        <v>4.0</v>
      </c>
      <c r="D9" s="176">
        <v>2022.0</v>
      </c>
      <c r="E9" s="179" t="s">
        <v>323</v>
      </c>
      <c r="F9" s="177"/>
      <c r="G9" s="129"/>
    </row>
    <row r="10" ht="12.75" customHeight="1">
      <c r="A10" s="127" t="s">
        <v>447</v>
      </c>
      <c r="B10" s="175" t="s">
        <v>24</v>
      </c>
      <c r="C10" s="176">
        <v>3.0</v>
      </c>
      <c r="D10" s="176">
        <v>2021.0</v>
      </c>
      <c r="E10" s="175" t="s">
        <v>314</v>
      </c>
      <c r="F10" s="178"/>
      <c r="G10" s="129" t="s">
        <v>129</v>
      </c>
    </row>
    <row r="11" ht="12.75" customHeight="1">
      <c r="A11" s="127" t="s">
        <v>448</v>
      </c>
      <c r="B11" s="175" t="s">
        <v>24</v>
      </c>
      <c r="C11" s="176">
        <v>1.0</v>
      </c>
      <c r="D11" s="176">
        <v>2021.0</v>
      </c>
      <c r="E11" s="175" t="s">
        <v>314</v>
      </c>
      <c r="F11" s="178"/>
    </row>
    <row r="12" ht="12.75" customHeight="1">
      <c r="A12" s="127" t="s">
        <v>449</v>
      </c>
      <c r="B12" s="175" t="s">
        <v>24</v>
      </c>
      <c r="C12" s="176">
        <v>1.0</v>
      </c>
      <c r="D12" s="176">
        <v>2021.0</v>
      </c>
      <c r="E12" s="175" t="s">
        <v>314</v>
      </c>
      <c r="F12" s="178"/>
    </row>
    <row r="13" ht="12.75" customHeight="1">
      <c r="A13" s="180"/>
      <c r="B13" s="178"/>
      <c r="C13" s="178"/>
      <c r="D13" s="178"/>
      <c r="E13" s="174"/>
      <c r="F13" s="178"/>
    </row>
    <row r="14" ht="12.75" customHeight="1">
      <c r="A14" s="135" t="s">
        <v>450</v>
      </c>
      <c r="B14" s="181" t="s">
        <v>63</v>
      </c>
      <c r="C14" s="182">
        <v>30.0</v>
      </c>
      <c r="D14" s="182">
        <v>2021.0</v>
      </c>
      <c r="E14" s="181" t="s">
        <v>314</v>
      </c>
      <c r="F14" s="183"/>
      <c r="G14" s="129" t="s">
        <v>129</v>
      </c>
    </row>
    <row r="15" ht="12.75" customHeight="1">
      <c r="A15" s="137" t="s">
        <v>451</v>
      </c>
      <c r="B15" s="184" t="s">
        <v>63</v>
      </c>
      <c r="C15" s="185">
        <v>22.0</v>
      </c>
      <c r="D15" s="182">
        <v>2021.0</v>
      </c>
      <c r="E15" s="181" t="s">
        <v>314</v>
      </c>
      <c r="F15" s="183"/>
      <c r="G15" s="129"/>
    </row>
    <row r="16" ht="12.75" customHeight="1">
      <c r="A16" s="137" t="s">
        <v>452</v>
      </c>
      <c r="B16" s="184" t="s">
        <v>63</v>
      </c>
      <c r="C16" s="185">
        <v>14.0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453</v>
      </c>
      <c r="B17" s="184" t="s">
        <v>63</v>
      </c>
      <c r="C17" s="185">
        <v>1.0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454</v>
      </c>
      <c r="B18" s="184" t="s">
        <v>63</v>
      </c>
      <c r="C18" s="185">
        <v>1.0</v>
      </c>
      <c r="D18" s="182">
        <v>2021.0</v>
      </c>
      <c r="E18" s="181" t="s">
        <v>314</v>
      </c>
      <c r="F18" s="183"/>
      <c r="G18" s="123"/>
    </row>
    <row r="19" ht="12.75" customHeight="1">
      <c r="A19" s="137" t="s">
        <v>455</v>
      </c>
      <c r="B19" s="184" t="s">
        <v>63</v>
      </c>
      <c r="C19" s="185">
        <v>1.0</v>
      </c>
      <c r="D19" s="182">
        <v>2021.0</v>
      </c>
      <c r="E19" s="181" t="s">
        <v>314</v>
      </c>
      <c r="F19" s="183"/>
      <c r="G19" s="123"/>
    </row>
    <row r="20" ht="12.75" customHeight="1">
      <c r="A20" s="137" t="s">
        <v>456</v>
      </c>
      <c r="B20" s="184" t="s">
        <v>63</v>
      </c>
      <c r="C20" s="185">
        <v>1.0</v>
      </c>
      <c r="D20" s="182">
        <v>2021.0</v>
      </c>
      <c r="E20" s="181" t="s">
        <v>314</v>
      </c>
      <c r="F20" s="183"/>
      <c r="G20" s="123"/>
    </row>
    <row r="21" ht="12.75" customHeight="1">
      <c r="A21" s="206"/>
      <c r="B21" s="183"/>
      <c r="C21" s="183"/>
      <c r="D21" s="207"/>
      <c r="E21" s="174"/>
      <c r="F21" s="183"/>
      <c r="G21" s="123"/>
    </row>
    <row r="22" ht="12.75" customHeight="1">
      <c r="A22" s="143" t="s">
        <v>457</v>
      </c>
      <c r="B22" s="190" t="s">
        <v>111</v>
      </c>
      <c r="C22" s="191">
        <v>10.0</v>
      </c>
      <c r="D22" s="191">
        <v>2021.0</v>
      </c>
      <c r="E22" s="190" t="s">
        <v>314</v>
      </c>
      <c r="F22" s="192"/>
      <c r="G22" s="123"/>
    </row>
    <row r="23" ht="12.75" customHeight="1">
      <c r="A23" s="143" t="s">
        <v>458</v>
      </c>
      <c r="B23" s="190" t="s">
        <v>111</v>
      </c>
      <c r="C23" s="191">
        <v>3.0</v>
      </c>
      <c r="D23" s="191">
        <v>2021.0</v>
      </c>
      <c r="E23" s="190" t="s">
        <v>314</v>
      </c>
      <c r="F23" s="192"/>
      <c r="G23" s="123" t="s">
        <v>129</v>
      </c>
    </row>
    <row r="24" ht="12.75" customHeight="1">
      <c r="A24" s="143" t="s">
        <v>459</v>
      </c>
      <c r="B24" s="190" t="s">
        <v>111</v>
      </c>
      <c r="C24" s="191">
        <v>1.0</v>
      </c>
      <c r="D24" s="191">
        <v>2021.0</v>
      </c>
      <c r="E24" s="190" t="s">
        <v>314</v>
      </c>
      <c r="F24" s="192"/>
      <c r="G24" s="123" t="s">
        <v>129</v>
      </c>
    </row>
    <row r="25" ht="12.75" customHeight="1">
      <c r="A25" s="143" t="s">
        <v>257</v>
      </c>
      <c r="B25" s="190" t="s">
        <v>111</v>
      </c>
      <c r="C25" s="191">
        <v>1.0</v>
      </c>
      <c r="D25" s="191">
        <v>2021.0</v>
      </c>
      <c r="E25" s="190" t="s">
        <v>314</v>
      </c>
      <c r="F25" s="192"/>
      <c r="G25" s="123"/>
    </row>
    <row r="26" ht="12.75" customHeight="1">
      <c r="A26" s="145"/>
      <c r="B26" s="192"/>
      <c r="C26" s="192"/>
      <c r="D26" s="192"/>
      <c r="E26" s="174"/>
      <c r="F26" s="192"/>
      <c r="G26" s="123"/>
    </row>
    <row r="27" ht="12.75" customHeight="1">
      <c r="A27" s="194" t="s">
        <v>460</v>
      </c>
      <c r="B27" s="195" t="s">
        <v>124</v>
      </c>
      <c r="C27" s="196">
        <v>1.0</v>
      </c>
      <c r="D27" s="196">
        <v>2021.0</v>
      </c>
      <c r="E27" s="195" t="s">
        <v>314</v>
      </c>
      <c r="F27" s="197"/>
      <c r="G27" s="123" t="s">
        <v>319</v>
      </c>
    </row>
    <row r="28" ht="12.75" customHeight="1">
      <c r="A28" s="198"/>
      <c r="B28" s="197"/>
      <c r="C28" s="197"/>
      <c r="D28" s="197"/>
      <c r="E28" s="197"/>
      <c r="F28" s="197"/>
      <c r="G28" s="123" t="s">
        <v>129</v>
      </c>
    </row>
    <row r="29" ht="12.75" customHeight="1">
      <c r="A29" s="151" t="s">
        <v>261</v>
      </c>
      <c r="B29" s="200" t="s">
        <v>133</v>
      </c>
      <c r="C29" s="208">
        <v>1.0</v>
      </c>
      <c r="D29" s="208">
        <v>2021.0</v>
      </c>
      <c r="E29" s="200" t="s">
        <v>314</v>
      </c>
      <c r="F29" s="201"/>
      <c r="G29" s="123"/>
    </row>
    <row r="30" ht="12.75" customHeight="1">
      <c r="A30" s="199"/>
      <c r="B30" s="201"/>
      <c r="C30" s="201"/>
      <c r="D30" s="201"/>
      <c r="E30" s="201"/>
      <c r="F30" s="201"/>
      <c r="G30" s="129" t="s">
        <v>129</v>
      </c>
    </row>
    <row r="31" ht="12.75" customHeight="1">
      <c r="A31" s="209"/>
      <c r="B31" s="210"/>
      <c r="C31" s="210"/>
      <c r="D31" s="210"/>
      <c r="E31" s="174"/>
      <c r="F31" s="210"/>
      <c r="G31" s="129"/>
    </row>
    <row r="32" ht="12.75" customHeight="1">
      <c r="A32" s="156" t="s">
        <v>332</v>
      </c>
      <c r="B32" s="157"/>
      <c r="C32" s="158"/>
      <c r="D32" s="157"/>
      <c r="E32" s="157"/>
      <c r="F32" s="157"/>
      <c r="G32" s="123" t="s">
        <v>129</v>
      </c>
    </row>
    <row r="33" ht="12.75" customHeight="1">
      <c r="A33" s="159" t="s">
        <v>203</v>
      </c>
      <c r="B33" s="160"/>
      <c r="C33" s="161">
        <v>2.0</v>
      </c>
      <c r="D33" s="161">
        <v>2021.0</v>
      </c>
      <c r="E33" s="163" t="s">
        <v>314</v>
      </c>
      <c r="F33" s="157"/>
      <c r="G33" s="123" t="s">
        <v>129</v>
      </c>
    </row>
    <row r="34" ht="12.75" customHeight="1">
      <c r="A34" s="159" t="s">
        <v>461</v>
      </c>
      <c r="B34" s="160"/>
      <c r="C34" s="161">
        <v>2.0</v>
      </c>
      <c r="D34" s="161">
        <v>2021.0</v>
      </c>
      <c r="E34" s="163" t="s">
        <v>314</v>
      </c>
      <c r="F34" s="157"/>
      <c r="G34" s="123" t="s">
        <v>129</v>
      </c>
    </row>
    <row r="35" ht="12.75" customHeight="1">
      <c r="A35" s="166"/>
      <c r="B35" s="160"/>
      <c r="C35" s="157"/>
      <c r="D35" s="157"/>
      <c r="E35" s="157"/>
      <c r="F35" s="157"/>
      <c r="G35" s="123" t="s">
        <v>129</v>
      </c>
    </row>
    <row r="36" ht="12.75" customHeight="1">
      <c r="A36" s="166"/>
      <c r="B36" s="160"/>
      <c r="C36" s="157"/>
      <c r="D36" s="157"/>
      <c r="E36" s="157"/>
      <c r="F36" s="157"/>
    </row>
    <row r="37" ht="12.75" customHeight="1">
      <c r="A37" s="166"/>
      <c r="B37" s="160"/>
      <c r="C37" s="157"/>
      <c r="D37" s="157"/>
      <c r="E37" s="157"/>
      <c r="F37" s="157"/>
    </row>
    <row r="38" ht="12.75" customHeight="1">
      <c r="A38" s="166"/>
      <c r="B38" s="160"/>
      <c r="C38" s="157"/>
      <c r="D38" s="157"/>
      <c r="E38" s="157"/>
      <c r="F38" s="157"/>
    </row>
    <row r="39" ht="12.75" customHeight="1">
      <c r="A39" s="166"/>
      <c r="B39" s="164"/>
      <c r="C39" s="157"/>
      <c r="D39" s="167"/>
      <c r="E39" s="167"/>
      <c r="F39" s="167"/>
    </row>
    <row r="40" ht="12.75" customHeight="1">
      <c r="A40" s="220"/>
      <c r="B40" s="164"/>
      <c r="C40" s="157"/>
      <c r="D40" s="157"/>
      <c r="E40" s="157"/>
      <c r="F40" s="167"/>
    </row>
    <row r="41" ht="12.75" customHeight="1">
      <c r="A41" s="166"/>
      <c r="B41" s="164"/>
      <c r="C41" s="157"/>
      <c r="D41" s="167"/>
      <c r="E41" s="167"/>
      <c r="F41" s="167"/>
    </row>
    <row r="42" ht="12.75" customHeight="1">
      <c r="A42" s="168" t="s">
        <v>339</v>
      </c>
      <c r="B42" s="169"/>
      <c r="C42" s="170">
        <v>199.0</v>
      </c>
      <c r="D42" s="169"/>
      <c r="E42" s="169"/>
      <c r="F42" s="169"/>
    </row>
    <row r="43" ht="12.75" customHeight="1">
      <c r="A43" s="169"/>
      <c r="B43" s="169"/>
      <c r="C43" s="170">
        <v>0.0</v>
      </c>
      <c r="D43" s="171"/>
      <c r="E43" s="171"/>
      <c r="F43" s="169"/>
    </row>
    <row r="44" ht="12.75" customHeight="1">
      <c r="A44" s="168" t="s">
        <v>340</v>
      </c>
      <c r="B44" s="169"/>
      <c r="C44" s="170">
        <v>51.0</v>
      </c>
      <c r="D44" s="169"/>
      <c r="E44" s="169"/>
      <c r="F44" s="169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181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462</v>
      </c>
      <c r="B3" s="172" t="s">
        <v>9</v>
      </c>
      <c r="C3" s="173">
        <v>4.0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463</v>
      </c>
      <c r="B4" s="172" t="s">
        <v>9</v>
      </c>
      <c r="C4" s="173">
        <v>5.0</v>
      </c>
      <c r="D4" s="173">
        <v>2021.0</v>
      </c>
      <c r="E4" s="172" t="s">
        <v>314</v>
      </c>
      <c r="F4" s="174"/>
      <c r="G4" s="123"/>
    </row>
    <row r="5" ht="12.75" customHeight="1">
      <c r="A5" s="125"/>
      <c r="B5" s="174"/>
      <c r="C5" s="174"/>
      <c r="D5" s="174"/>
      <c r="E5" s="178"/>
      <c r="F5" s="174"/>
      <c r="G5" s="123" t="s">
        <v>129</v>
      </c>
    </row>
    <row r="6" ht="12.75" customHeight="1">
      <c r="A6" s="127" t="s">
        <v>464</v>
      </c>
      <c r="B6" s="175" t="s">
        <v>24</v>
      </c>
      <c r="C6" s="176">
        <v>29.0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465</v>
      </c>
      <c r="B7" s="175" t="s">
        <v>24</v>
      </c>
      <c r="C7" s="176">
        <v>20.0</v>
      </c>
      <c r="D7" s="176">
        <v>2021.0</v>
      </c>
      <c r="E7" s="175" t="s">
        <v>314</v>
      </c>
      <c r="F7" s="178"/>
      <c r="G7" s="123" t="s">
        <v>129</v>
      </c>
    </row>
    <row r="8" ht="12.75" customHeight="1">
      <c r="A8" s="127" t="s">
        <v>466</v>
      </c>
      <c r="B8" s="175" t="s">
        <v>24</v>
      </c>
      <c r="C8" s="176">
        <v>9.0</v>
      </c>
      <c r="D8" s="176">
        <v>2021.0</v>
      </c>
      <c r="E8" s="175" t="s">
        <v>314</v>
      </c>
      <c r="F8" s="178"/>
      <c r="G8" s="123" t="s">
        <v>319</v>
      </c>
    </row>
    <row r="9" ht="12.75" customHeight="1">
      <c r="A9" s="127" t="s">
        <v>467</v>
      </c>
      <c r="B9" s="175" t="s">
        <v>24</v>
      </c>
      <c r="C9" s="176">
        <v>1.0</v>
      </c>
      <c r="D9" s="176">
        <v>2021.0</v>
      </c>
      <c r="E9" s="175" t="s">
        <v>314</v>
      </c>
      <c r="F9" s="178"/>
      <c r="G9" s="129"/>
    </row>
    <row r="10" ht="12.75" customHeight="1">
      <c r="A10" s="127" t="s">
        <v>468</v>
      </c>
      <c r="B10" s="175" t="s">
        <v>24</v>
      </c>
      <c r="C10" s="176">
        <v>1.0</v>
      </c>
      <c r="D10" s="176">
        <v>2021.0</v>
      </c>
      <c r="E10" s="175" t="s">
        <v>314</v>
      </c>
      <c r="F10" s="178"/>
      <c r="G10" s="129" t="s">
        <v>129</v>
      </c>
    </row>
    <row r="11" ht="12.75" customHeight="1">
      <c r="A11" s="127" t="s">
        <v>469</v>
      </c>
      <c r="B11" s="175" t="s">
        <v>24</v>
      </c>
      <c r="C11" s="176">
        <v>1.0</v>
      </c>
      <c r="D11" s="176">
        <v>2021.0</v>
      </c>
      <c r="E11" s="175" t="s">
        <v>314</v>
      </c>
      <c r="F11" s="178"/>
    </row>
    <row r="12" ht="12.75" customHeight="1">
      <c r="A12" s="127" t="s">
        <v>216</v>
      </c>
      <c r="B12" s="175" t="s">
        <v>24</v>
      </c>
      <c r="C12" s="176">
        <v>12.0</v>
      </c>
      <c r="D12" s="176">
        <v>2022.0</v>
      </c>
      <c r="E12" s="179" t="s">
        <v>323</v>
      </c>
      <c r="F12" s="178"/>
    </row>
    <row r="13" ht="12.75" customHeight="1">
      <c r="A13" s="127" t="s">
        <v>217</v>
      </c>
      <c r="B13" s="175" t="s">
        <v>24</v>
      </c>
      <c r="C13" s="176">
        <v>11.0</v>
      </c>
      <c r="D13" s="176">
        <v>2022.0</v>
      </c>
      <c r="E13" s="179" t="s">
        <v>323</v>
      </c>
      <c r="F13" s="178"/>
    </row>
    <row r="14" ht="12.75" customHeight="1">
      <c r="A14" s="180"/>
      <c r="B14" s="178"/>
      <c r="C14" s="178"/>
      <c r="D14" s="178"/>
      <c r="E14" s="178"/>
      <c r="F14" s="178"/>
      <c r="G14" s="129" t="s">
        <v>129</v>
      </c>
    </row>
    <row r="15" ht="12.75" customHeight="1">
      <c r="A15" s="135" t="s">
        <v>223</v>
      </c>
      <c r="B15" s="181" t="s">
        <v>63</v>
      </c>
      <c r="C15" s="182">
        <v>40.0</v>
      </c>
      <c r="D15" s="182">
        <v>2021.0</v>
      </c>
      <c r="E15" s="181" t="s">
        <v>314</v>
      </c>
      <c r="F15" s="183"/>
      <c r="G15" s="129"/>
    </row>
    <row r="16" ht="12.75" customHeight="1">
      <c r="A16" s="137" t="s">
        <v>470</v>
      </c>
      <c r="B16" s="184" t="s">
        <v>63</v>
      </c>
      <c r="C16" s="185">
        <v>43.0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471</v>
      </c>
      <c r="B17" s="184" t="s">
        <v>63</v>
      </c>
      <c r="C17" s="185">
        <v>15.0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472</v>
      </c>
      <c r="B18" s="184" t="s">
        <v>63</v>
      </c>
      <c r="C18" s="185">
        <v>14.0</v>
      </c>
      <c r="D18" s="182">
        <v>2021.0</v>
      </c>
      <c r="E18" s="181" t="s">
        <v>314</v>
      </c>
      <c r="F18" s="183"/>
      <c r="G18" s="123"/>
    </row>
    <row r="19" ht="12.75" customHeight="1">
      <c r="A19" s="137" t="s">
        <v>473</v>
      </c>
      <c r="B19" s="183"/>
      <c r="C19" s="185">
        <v>3.0</v>
      </c>
      <c r="D19" s="182">
        <v>2021.0</v>
      </c>
      <c r="E19" s="181" t="s">
        <v>314</v>
      </c>
      <c r="F19" s="183"/>
      <c r="G19" s="123"/>
    </row>
    <row r="20" ht="12.75" customHeight="1">
      <c r="A20" s="137" t="s">
        <v>474</v>
      </c>
      <c r="B20" s="183"/>
      <c r="C20" s="185">
        <v>1.0</v>
      </c>
      <c r="D20" s="182">
        <v>2021.0</v>
      </c>
      <c r="E20" s="181" t="s">
        <v>314</v>
      </c>
      <c r="F20" s="183"/>
      <c r="G20" s="123"/>
    </row>
    <row r="21" ht="12.75" customHeight="1">
      <c r="A21" s="137" t="s">
        <v>475</v>
      </c>
      <c r="B21" s="183"/>
      <c r="C21" s="185">
        <v>1.0</v>
      </c>
      <c r="D21" s="182">
        <v>2021.0</v>
      </c>
      <c r="E21" s="181" t="s">
        <v>314</v>
      </c>
      <c r="F21" s="183"/>
      <c r="G21" s="123"/>
    </row>
    <row r="22" ht="12.75" customHeight="1">
      <c r="A22" s="206"/>
      <c r="B22" s="183"/>
      <c r="C22" s="183"/>
      <c r="D22" s="207"/>
      <c r="E22" s="207"/>
      <c r="F22" s="183"/>
      <c r="G22" s="123"/>
    </row>
    <row r="23" ht="12.75" customHeight="1">
      <c r="A23" s="143" t="s">
        <v>476</v>
      </c>
      <c r="B23" s="190" t="s">
        <v>111</v>
      </c>
      <c r="C23" s="191">
        <v>3.0</v>
      </c>
      <c r="D23" s="191">
        <v>2021.0</v>
      </c>
      <c r="E23" s="190" t="s">
        <v>314</v>
      </c>
      <c r="F23" s="183"/>
      <c r="G23" s="123" t="s">
        <v>129</v>
      </c>
    </row>
    <row r="24" ht="12.75" customHeight="1">
      <c r="A24" s="143" t="s">
        <v>477</v>
      </c>
      <c r="B24" s="190" t="s">
        <v>111</v>
      </c>
      <c r="C24" s="191">
        <v>15.0</v>
      </c>
      <c r="D24" s="191">
        <v>2022.0</v>
      </c>
      <c r="E24" s="193" t="s">
        <v>323</v>
      </c>
      <c r="F24" s="183"/>
      <c r="G24" s="123" t="s">
        <v>129</v>
      </c>
    </row>
    <row r="25" ht="12.75" customHeight="1">
      <c r="A25" s="143" t="s">
        <v>478</v>
      </c>
      <c r="B25" s="190" t="s">
        <v>111</v>
      </c>
      <c r="C25" s="191">
        <v>1.0</v>
      </c>
      <c r="D25" s="191">
        <v>2021.0</v>
      </c>
      <c r="E25" s="190" t="s">
        <v>314</v>
      </c>
      <c r="F25" s="192"/>
      <c r="G25" s="123"/>
    </row>
    <row r="26" ht="12.75" customHeight="1">
      <c r="A26" s="145"/>
      <c r="B26" s="192"/>
      <c r="C26" s="192"/>
      <c r="D26" s="192"/>
      <c r="E26" s="192"/>
      <c r="F26" s="192"/>
      <c r="G26" s="123"/>
    </row>
    <row r="27" ht="12.75" customHeight="1">
      <c r="A27" s="194" t="s">
        <v>479</v>
      </c>
      <c r="B27" s="195" t="s">
        <v>124</v>
      </c>
      <c r="C27" s="196">
        <v>2.0</v>
      </c>
      <c r="D27" s="196">
        <v>2021.0</v>
      </c>
      <c r="E27" s="195" t="s">
        <v>314</v>
      </c>
      <c r="F27" s="197"/>
      <c r="G27" s="123" t="s">
        <v>319</v>
      </c>
    </row>
    <row r="28" ht="12.75" customHeight="1">
      <c r="A28" s="194" t="s">
        <v>480</v>
      </c>
      <c r="B28" s="195" t="s">
        <v>124</v>
      </c>
      <c r="C28" s="196">
        <v>1.0</v>
      </c>
      <c r="D28" s="196">
        <v>2021.0</v>
      </c>
      <c r="E28" s="195" t="s">
        <v>314</v>
      </c>
      <c r="F28" s="197"/>
      <c r="G28" s="123" t="s">
        <v>129</v>
      </c>
    </row>
    <row r="29" ht="12.75" customHeight="1">
      <c r="A29" s="198"/>
      <c r="B29" s="197"/>
      <c r="C29" s="197"/>
      <c r="D29" s="197"/>
      <c r="E29" s="197"/>
      <c r="F29" s="197"/>
      <c r="G29" s="123"/>
    </row>
    <row r="30" ht="12.75" customHeight="1">
      <c r="A30" s="151" t="s">
        <v>262</v>
      </c>
      <c r="B30" s="200" t="s">
        <v>133</v>
      </c>
      <c r="C30" s="208">
        <v>1.0</v>
      </c>
      <c r="D30" s="208">
        <v>2021.0</v>
      </c>
      <c r="E30" s="200" t="s">
        <v>314</v>
      </c>
      <c r="F30" s="201"/>
      <c r="G30" s="129" t="s">
        <v>129</v>
      </c>
    </row>
    <row r="31" ht="12.75" customHeight="1">
      <c r="A31" s="199"/>
      <c r="B31" s="201"/>
      <c r="C31" s="201"/>
      <c r="D31" s="201"/>
      <c r="E31" s="201"/>
      <c r="F31" s="201"/>
      <c r="G31" s="123" t="s">
        <v>129</v>
      </c>
    </row>
    <row r="32" ht="12.75" customHeight="1">
      <c r="A32" s="209"/>
      <c r="B32" s="210"/>
      <c r="C32" s="210"/>
      <c r="D32" s="210"/>
      <c r="E32" s="178"/>
      <c r="F32" s="210"/>
      <c r="G32" s="123" t="s">
        <v>129</v>
      </c>
    </row>
    <row r="33" ht="12.75" customHeight="1">
      <c r="A33" s="156" t="s">
        <v>332</v>
      </c>
      <c r="B33" s="157"/>
      <c r="C33" s="157"/>
      <c r="D33" s="157"/>
      <c r="E33" s="157"/>
      <c r="F33" s="157"/>
      <c r="G33" s="123" t="s">
        <v>129</v>
      </c>
    </row>
    <row r="34" ht="12.75" customHeight="1">
      <c r="A34" s="166"/>
      <c r="B34" s="160"/>
      <c r="C34" s="157"/>
      <c r="D34" s="157"/>
      <c r="E34" s="157"/>
      <c r="F34" s="157"/>
      <c r="G34" s="123" t="s">
        <v>129</v>
      </c>
    </row>
    <row r="35" ht="12.75" customHeight="1">
      <c r="A35" s="166"/>
      <c r="B35" s="160"/>
      <c r="C35" s="157"/>
      <c r="D35" s="157"/>
      <c r="E35" s="157"/>
      <c r="F35" s="157"/>
    </row>
    <row r="36" ht="12.75" customHeight="1">
      <c r="A36" s="166"/>
      <c r="B36" s="160"/>
      <c r="C36" s="157"/>
      <c r="D36" s="157"/>
      <c r="E36" s="157"/>
      <c r="F36" s="157"/>
    </row>
    <row r="37" ht="12.75" customHeight="1">
      <c r="A37" s="166"/>
      <c r="B37" s="160"/>
      <c r="C37" s="157"/>
      <c r="D37" s="157"/>
      <c r="E37" s="157"/>
      <c r="F37" s="157"/>
    </row>
    <row r="38" ht="12.75" customHeight="1">
      <c r="A38" s="166"/>
      <c r="B38" s="164"/>
      <c r="C38" s="157"/>
      <c r="D38" s="167"/>
      <c r="E38" s="167"/>
      <c r="F38" s="167"/>
    </row>
    <row r="39" ht="12.75" customHeight="1">
      <c r="A39" s="220"/>
      <c r="B39" s="164"/>
      <c r="C39" s="157"/>
      <c r="D39" s="157"/>
      <c r="E39" s="157"/>
      <c r="F39" s="167"/>
    </row>
    <row r="40" ht="12.75" customHeight="1">
      <c r="A40" s="166"/>
      <c r="B40" s="164"/>
      <c r="C40" s="157"/>
      <c r="D40" s="167"/>
      <c r="E40" s="167"/>
      <c r="F40" s="167"/>
    </row>
    <row r="41" ht="12.75" customHeight="1">
      <c r="A41" s="220"/>
      <c r="B41" s="164"/>
      <c r="C41" s="167"/>
      <c r="D41" s="167"/>
      <c r="E41" s="167"/>
      <c r="F41" s="167"/>
    </row>
    <row r="42" ht="12.75" customHeight="1">
      <c r="A42" s="220"/>
      <c r="B42" s="164"/>
      <c r="C42" s="167"/>
      <c r="D42" s="167"/>
      <c r="E42" s="167"/>
      <c r="F42" s="167"/>
    </row>
    <row r="43" ht="12.75" customHeight="1">
      <c r="A43" s="168" t="s">
        <v>339</v>
      </c>
      <c r="B43" s="169"/>
      <c r="C43" s="170">
        <v>233.0</v>
      </c>
      <c r="D43" s="169"/>
      <c r="E43" s="169"/>
      <c r="F43" s="169"/>
    </row>
    <row r="44" ht="12.75" customHeight="1">
      <c r="A44" s="169"/>
      <c r="B44" s="169"/>
      <c r="C44" s="170">
        <v>0.0</v>
      </c>
      <c r="D44" s="171"/>
      <c r="E44" s="171"/>
      <c r="F44" s="169"/>
    </row>
    <row r="45" ht="12.75" customHeight="1">
      <c r="A45" s="168" t="s">
        <v>340</v>
      </c>
      <c r="B45" s="169"/>
      <c r="C45" s="170">
        <v>17.0</v>
      </c>
      <c r="D45" s="169"/>
      <c r="E45" s="169"/>
      <c r="F45" s="169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182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481</v>
      </c>
      <c r="B3" s="172" t="s">
        <v>9</v>
      </c>
      <c r="C3" s="173">
        <v>14.0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0" t="s">
        <v>482</v>
      </c>
      <c r="B4" s="172" t="s">
        <v>9</v>
      </c>
      <c r="C4" s="173">
        <v>4.0</v>
      </c>
      <c r="D4" s="173">
        <v>2021.0</v>
      </c>
      <c r="E4" s="172" t="s">
        <v>314</v>
      </c>
      <c r="F4" s="174"/>
      <c r="G4" s="123"/>
    </row>
    <row r="5" ht="12.75" customHeight="1">
      <c r="A5" s="120" t="s">
        <v>483</v>
      </c>
      <c r="B5" s="172" t="s">
        <v>9</v>
      </c>
      <c r="C5" s="173">
        <v>2.0</v>
      </c>
      <c r="D5" s="173">
        <v>2021.0</v>
      </c>
      <c r="E5" s="172" t="s">
        <v>314</v>
      </c>
      <c r="F5" s="174"/>
      <c r="G5" s="123" t="s">
        <v>129</v>
      </c>
    </row>
    <row r="6" ht="12.75" customHeight="1">
      <c r="A6" s="127" t="s">
        <v>484</v>
      </c>
      <c r="B6" s="175" t="s">
        <v>24</v>
      </c>
      <c r="C6" s="176">
        <v>45.0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485</v>
      </c>
      <c r="B7" s="175" t="s">
        <v>24</v>
      </c>
      <c r="C7" s="176">
        <v>41.0</v>
      </c>
      <c r="D7" s="176">
        <v>2021.0</v>
      </c>
      <c r="E7" s="175" t="s">
        <v>314</v>
      </c>
      <c r="F7" s="177"/>
      <c r="G7" s="123" t="s">
        <v>129</v>
      </c>
    </row>
    <row r="8" ht="12.75" customHeight="1">
      <c r="A8" s="127" t="s">
        <v>381</v>
      </c>
      <c r="B8" s="175" t="s">
        <v>24</v>
      </c>
      <c r="C8" s="176">
        <v>11.0</v>
      </c>
      <c r="D8" s="176">
        <v>2021.0</v>
      </c>
      <c r="E8" s="175" t="s">
        <v>314</v>
      </c>
      <c r="F8" s="177"/>
      <c r="G8" s="123" t="s">
        <v>319</v>
      </c>
    </row>
    <row r="9" ht="12.75" customHeight="1">
      <c r="A9" s="127" t="s">
        <v>486</v>
      </c>
      <c r="B9" s="175" t="s">
        <v>24</v>
      </c>
      <c r="C9" s="176">
        <v>2.0</v>
      </c>
      <c r="D9" s="176">
        <v>2021.0</v>
      </c>
      <c r="E9" s="175" t="s">
        <v>314</v>
      </c>
      <c r="F9" s="178"/>
      <c r="G9" s="129"/>
    </row>
    <row r="10" ht="12.75" customHeight="1">
      <c r="A10" s="127" t="s">
        <v>487</v>
      </c>
      <c r="B10" s="175" t="s">
        <v>24</v>
      </c>
      <c r="C10" s="176">
        <v>1.0</v>
      </c>
      <c r="D10" s="176">
        <v>2022.0</v>
      </c>
      <c r="E10" s="179" t="s">
        <v>323</v>
      </c>
      <c r="F10" s="178"/>
      <c r="G10" s="129" t="s">
        <v>129</v>
      </c>
    </row>
    <row r="11" ht="12.75" customHeight="1">
      <c r="A11" s="127" t="s">
        <v>488</v>
      </c>
      <c r="B11" s="175" t="s">
        <v>24</v>
      </c>
      <c r="C11" s="176">
        <v>2.0</v>
      </c>
      <c r="D11" s="176">
        <v>2022.0</v>
      </c>
      <c r="E11" s="179" t="s">
        <v>323</v>
      </c>
      <c r="F11" s="178"/>
    </row>
    <row r="12" ht="12.75" customHeight="1">
      <c r="A12" s="132"/>
      <c r="B12" s="215"/>
      <c r="C12" s="215"/>
      <c r="D12" s="215"/>
      <c r="E12" s="215"/>
      <c r="F12" s="178"/>
    </row>
    <row r="13" ht="12.75" customHeight="1">
      <c r="A13" s="135" t="s">
        <v>489</v>
      </c>
      <c r="B13" s="181" t="s">
        <v>63</v>
      </c>
      <c r="C13" s="182">
        <v>11.0</v>
      </c>
      <c r="D13" s="182">
        <v>2021.0</v>
      </c>
      <c r="E13" s="181" t="s">
        <v>314</v>
      </c>
      <c r="F13" s="183"/>
    </row>
    <row r="14" ht="12.75" customHeight="1">
      <c r="A14" s="137" t="s">
        <v>490</v>
      </c>
      <c r="B14" s="184" t="s">
        <v>63</v>
      </c>
      <c r="C14" s="185">
        <v>16.0</v>
      </c>
      <c r="D14" s="182">
        <v>2021.0</v>
      </c>
      <c r="E14" s="181" t="s">
        <v>314</v>
      </c>
      <c r="F14" s="183"/>
      <c r="G14" s="129" t="s">
        <v>129</v>
      </c>
    </row>
    <row r="15" ht="12.75" customHeight="1">
      <c r="A15" s="137" t="s">
        <v>491</v>
      </c>
      <c r="B15" s="184" t="s">
        <v>63</v>
      </c>
      <c r="C15" s="185">
        <v>14.0</v>
      </c>
      <c r="D15" s="182">
        <v>2022.0</v>
      </c>
      <c r="E15" s="186" t="s">
        <v>323</v>
      </c>
      <c r="F15" s="183"/>
      <c r="G15" s="129"/>
    </row>
    <row r="16" ht="12.75" customHeight="1">
      <c r="A16" s="137" t="s">
        <v>492</v>
      </c>
      <c r="B16" s="184" t="s">
        <v>63</v>
      </c>
      <c r="C16" s="185">
        <v>6.0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235</v>
      </c>
      <c r="B17" s="184" t="s">
        <v>63</v>
      </c>
      <c r="C17" s="185">
        <v>18.0</v>
      </c>
      <c r="D17" s="182">
        <v>2022.0</v>
      </c>
      <c r="E17" s="186" t="s">
        <v>323</v>
      </c>
      <c r="F17" s="183"/>
      <c r="G17" s="123" t="s">
        <v>129</v>
      </c>
    </row>
    <row r="18" ht="12.75" customHeight="1">
      <c r="A18" s="137" t="s">
        <v>303</v>
      </c>
      <c r="B18" s="184" t="s">
        <v>63</v>
      </c>
      <c r="C18" s="185">
        <v>18.0</v>
      </c>
      <c r="D18" s="182">
        <v>2022.0</v>
      </c>
      <c r="E18" s="186" t="s">
        <v>323</v>
      </c>
      <c r="F18" s="183"/>
      <c r="G18" s="123"/>
    </row>
    <row r="19" ht="12.75" customHeight="1">
      <c r="A19" s="137" t="s">
        <v>242</v>
      </c>
      <c r="B19" s="184" t="s">
        <v>63</v>
      </c>
      <c r="C19" s="185">
        <v>5.0</v>
      </c>
      <c r="D19" s="182">
        <v>2022.0</v>
      </c>
      <c r="E19" s="186" t="s">
        <v>323</v>
      </c>
      <c r="F19" s="183"/>
      <c r="G19" s="123"/>
    </row>
    <row r="20" ht="12.75" customHeight="1">
      <c r="A20" s="137" t="s">
        <v>493</v>
      </c>
      <c r="B20" s="184" t="s">
        <v>63</v>
      </c>
      <c r="C20" s="185">
        <v>1.0</v>
      </c>
      <c r="D20" s="182">
        <v>2021.0</v>
      </c>
      <c r="E20" s="181" t="s">
        <v>314</v>
      </c>
      <c r="F20" s="183"/>
      <c r="G20" s="123"/>
    </row>
    <row r="21" ht="12.75" customHeight="1">
      <c r="A21" s="140"/>
      <c r="B21" s="187"/>
      <c r="C21" s="187"/>
      <c r="D21" s="188"/>
      <c r="E21" s="188"/>
      <c r="F21" s="183"/>
      <c r="G21" s="123"/>
    </row>
    <row r="22" ht="12.75" customHeight="1">
      <c r="A22" s="143" t="s">
        <v>494</v>
      </c>
      <c r="B22" s="190" t="s">
        <v>111</v>
      </c>
      <c r="C22" s="191">
        <v>4.0</v>
      </c>
      <c r="D22" s="191">
        <v>2021.0</v>
      </c>
      <c r="E22" s="190" t="s">
        <v>314</v>
      </c>
      <c r="F22" s="192"/>
      <c r="G22" s="123"/>
    </row>
    <row r="23" ht="12.75" customHeight="1">
      <c r="A23" s="143" t="s">
        <v>254</v>
      </c>
      <c r="B23" s="190" t="s">
        <v>111</v>
      </c>
      <c r="C23" s="191">
        <v>1.0</v>
      </c>
      <c r="D23" s="191">
        <v>2021.0</v>
      </c>
      <c r="E23" s="190" t="s">
        <v>314</v>
      </c>
      <c r="F23" s="192"/>
      <c r="G23" s="123" t="s">
        <v>129</v>
      </c>
    </row>
    <row r="24" ht="12.75" customHeight="1">
      <c r="A24" s="198"/>
      <c r="B24" s="217"/>
      <c r="C24" s="197"/>
      <c r="D24" s="217"/>
      <c r="E24" s="189"/>
      <c r="F24" s="197"/>
      <c r="G24" s="123" t="s">
        <v>129</v>
      </c>
    </row>
    <row r="25" ht="12.75" customHeight="1">
      <c r="A25" s="198"/>
      <c r="B25" s="195" t="s">
        <v>124</v>
      </c>
      <c r="C25" s="197"/>
      <c r="D25" s="196">
        <v>2021.0</v>
      </c>
      <c r="E25" s="195" t="s">
        <v>314</v>
      </c>
      <c r="F25" s="197"/>
      <c r="G25" s="123"/>
    </row>
    <row r="26" ht="12.75" customHeight="1">
      <c r="A26" s="147"/>
      <c r="B26" s="217"/>
      <c r="C26" s="217"/>
      <c r="D26" s="217"/>
      <c r="E26" s="217"/>
      <c r="F26" s="197"/>
      <c r="G26" s="123"/>
    </row>
    <row r="27" ht="12.75" customHeight="1">
      <c r="A27" s="151" t="s">
        <v>263</v>
      </c>
      <c r="B27" s="200" t="s">
        <v>133</v>
      </c>
      <c r="C27" s="208">
        <v>1.0</v>
      </c>
      <c r="D27" s="208">
        <v>2021.0</v>
      </c>
      <c r="E27" s="200" t="s">
        <v>314</v>
      </c>
      <c r="F27" s="201"/>
      <c r="G27" s="123" t="s">
        <v>319</v>
      </c>
    </row>
    <row r="28" ht="12.75" customHeight="1">
      <c r="A28" s="199"/>
      <c r="B28" s="201"/>
      <c r="C28" s="202"/>
      <c r="D28" s="201"/>
      <c r="E28" s="201"/>
      <c r="F28" s="201"/>
      <c r="G28" s="123" t="s">
        <v>129</v>
      </c>
    </row>
    <row r="29" ht="12.75" customHeight="1">
      <c r="A29" s="218"/>
      <c r="B29" s="210"/>
      <c r="C29" s="219"/>
      <c r="D29" s="210"/>
      <c r="E29" s="174"/>
      <c r="F29" s="210"/>
      <c r="G29" s="123"/>
    </row>
    <row r="30" ht="12.75" customHeight="1">
      <c r="A30" s="156" t="s">
        <v>332</v>
      </c>
      <c r="B30" s="157"/>
      <c r="C30" s="158"/>
      <c r="D30" s="158"/>
      <c r="E30" s="158"/>
      <c r="F30" s="157"/>
      <c r="G30" s="129" t="s">
        <v>129</v>
      </c>
    </row>
    <row r="31" ht="12.75" customHeight="1">
      <c r="A31" s="159" t="s">
        <v>217</v>
      </c>
      <c r="B31" s="160"/>
      <c r="C31" s="161">
        <v>3.0</v>
      </c>
      <c r="D31" s="161">
        <v>2021.0</v>
      </c>
      <c r="E31" s="163" t="s">
        <v>314</v>
      </c>
      <c r="F31" s="157"/>
      <c r="G31" s="123" t="s">
        <v>129</v>
      </c>
    </row>
    <row r="32" ht="12.75" customHeight="1">
      <c r="A32" s="159" t="s">
        <v>495</v>
      </c>
      <c r="B32" s="160"/>
      <c r="C32" s="161">
        <v>1.0</v>
      </c>
      <c r="D32" s="161">
        <v>2021.0</v>
      </c>
      <c r="E32" s="163" t="s">
        <v>314</v>
      </c>
      <c r="F32" s="157"/>
      <c r="G32" s="123" t="s">
        <v>129</v>
      </c>
    </row>
    <row r="33" ht="12.75" customHeight="1">
      <c r="A33" s="159" t="s">
        <v>496</v>
      </c>
      <c r="B33" s="160"/>
      <c r="C33" s="161">
        <v>1.0</v>
      </c>
      <c r="D33" s="157"/>
      <c r="E33" s="157"/>
      <c r="F33" s="157"/>
      <c r="G33" s="123" t="s">
        <v>129</v>
      </c>
    </row>
    <row r="34" ht="12.75" customHeight="1">
      <c r="A34" s="159" t="s">
        <v>274</v>
      </c>
      <c r="B34" s="160"/>
      <c r="C34" s="161">
        <v>1.0</v>
      </c>
      <c r="D34" s="157"/>
      <c r="E34" s="157"/>
      <c r="F34" s="157"/>
      <c r="G34" s="123" t="s">
        <v>129</v>
      </c>
    </row>
    <row r="35" ht="12.75" customHeight="1">
      <c r="A35" s="159" t="s">
        <v>497</v>
      </c>
      <c r="B35" s="160"/>
      <c r="C35" s="161">
        <v>1.0</v>
      </c>
      <c r="D35" s="157"/>
      <c r="E35" s="157"/>
      <c r="F35" s="157"/>
    </row>
    <row r="36" ht="12.75" customHeight="1">
      <c r="A36" s="166"/>
      <c r="B36" s="160"/>
      <c r="C36" s="157"/>
      <c r="D36" s="157"/>
      <c r="E36" s="157"/>
      <c r="F36" s="157"/>
    </row>
    <row r="37" ht="12.75" customHeight="1">
      <c r="A37" s="166"/>
      <c r="B37" s="160"/>
      <c r="C37" s="157"/>
      <c r="D37" s="157"/>
      <c r="E37" s="157"/>
      <c r="F37" s="157"/>
    </row>
    <row r="38" ht="12.75" customHeight="1">
      <c r="A38" s="166"/>
      <c r="B38" s="164"/>
      <c r="C38" s="157"/>
      <c r="D38" s="167"/>
      <c r="E38" s="167"/>
      <c r="F38" s="167"/>
    </row>
    <row r="39" ht="12.75" customHeight="1">
      <c r="A39" s="165"/>
      <c r="B39" s="164"/>
      <c r="C39" s="158"/>
      <c r="D39" s="157"/>
      <c r="E39" s="157"/>
      <c r="F39" s="167"/>
    </row>
    <row r="40" ht="12.75" customHeight="1">
      <c r="A40" s="168" t="s">
        <v>339</v>
      </c>
      <c r="B40" s="169"/>
      <c r="C40" s="170">
        <v>224.0</v>
      </c>
      <c r="D40" s="169"/>
      <c r="E40" s="169"/>
      <c r="F40" s="169"/>
    </row>
    <row r="41" ht="12.75" customHeight="1">
      <c r="A41" s="221"/>
      <c r="B41" s="169"/>
      <c r="C41" s="170">
        <v>0.0</v>
      </c>
      <c r="D41" s="171"/>
      <c r="E41" s="171"/>
      <c r="F41" s="169"/>
    </row>
    <row r="42" ht="12.75" customHeight="1">
      <c r="A42" s="168" t="s">
        <v>340</v>
      </c>
      <c r="B42" s="169"/>
      <c r="C42" s="170">
        <v>26.0</v>
      </c>
      <c r="D42" s="169"/>
      <c r="E42" s="169"/>
      <c r="F42" s="169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3" t="s">
        <v>183</v>
      </c>
      <c r="B1" s="115"/>
      <c r="C1" s="115"/>
      <c r="D1" s="115"/>
      <c r="E1" s="115"/>
      <c r="F1" s="115"/>
    </row>
    <row r="2" ht="12.75" customHeight="1">
      <c r="A2" s="117" t="s">
        <v>7</v>
      </c>
      <c r="B2" s="118" t="s">
        <v>308</v>
      </c>
      <c r="C2" s="118" t="s">
        <v>341</v>
      </c>
      <c r="D2" s="118" t="s">
        <v>310</v>
      </c>
      <c r="E2" s="118" t="s">
        <v>342</v>
      </c>
      <c r="F2" s="118" t="s">
        <v>312</v>
      </c>
    </row>
    <row r="3" ht="12.75" customHeight="1">
      <c r="A3" s="120" t="s">
        <v>498</v>
      </c>
      <c r="B3" s="172" t="s">
        <v>9</v>
      </c>
      <c r="C3" s="173">
        <v>23.0</v>
      </c>
      <c r="D3" s="173">
        <v>2021.0</v>
      </c>
      <c r="E3" s="172" t="s">
        <v>314</v>
      </c>
      <c r="F3" s="174"/>
      <c r="G3" s="123" t="s">
        <v>129</v>
      </c>
    </row>
    <row r="4" ht="12.75" customHeight="1">
      <c r="A4" s="125"/>
      <c r="B4" s="174"/>
      <c r="C4" s="174"/>
      <c r="D4" s="174"/>
      <c r="E4" s="178"/>
      <c r="F4" s="174"/>
      <c r="G4" s="123"/>
    </row>
    <row r="5" ht="12.75" customHeight="1">
      <c r="A5" s="125"/>
      <c r="B5" s="174"/>
      <c r="C5" s="174"/>
      <c r="D5" s="174"/>
      <c r="E5" s="178"/>
      <c r="F5" s="174"/>
      <c r="G5" s="123" t="s">
        <v>129</v>
      </c>
    </row>
    <row r="6" ht="12.75" customHeight="1">
      <c r="A6" s="127" t="s">
        <v>499</v>
      </c>
      <c r="B6" s="175" t="s">
        <v>24</v>
      </c>
      <c r="C6" s="176">
        <v>53.0</v>
      </c>
      <c r="D6" s="176">
        <v>2021.0</v>
      </c>
      <c r="E6" s="175" t="s">
        <v>314</v>
      </c>
      <c r="F6" s="177"/>
      <c r="G6" s="129" t="s">
        <v>129</v>
      </c>
    </row>
    <row r="7" ht="12.75" customHeight="1">
      <c r="A7" s="127" t="s">
        <v>500</v>
      </c>
      <c r="B7" s="175" t="s">
        <v>24</v>
      </c>
      <c r="C7" s="176">
        <v>33.0</v>
      </c>
      <c r="D7" s="176">
        <v>2021.0</v>
      </c>
      <c r="E7" s="175" t="s">
        <v>314</v>
      </c>
      <c r="F7" s="177"/>
      <c r="G7" s="123" t="s">
        <v>129</v>
      </c>
    </row>
    <row r="8" ht="12.75" customHeight="1">
      <c r="A8" s="127" t="s">
        <v>203</v>
      </c>
      <c r="B8" s="175" t="s">
        <v>24</v>
      </c>
      <c r="C8" s="176">
        <v>8.0</v>
      </c>
      <c r="D8" s="176">
        <v>2022.0</v>
      </c>
      <c r="E8" s="179" t="s">
        <v>323</v>
      </c>
      <c r="F8" s="177"/>
      <c r="G8" s="123" t="s">
        <v>319</v>
      </c>
    </row>
    <row r="9" ht="12.75" customHeight="1">
      <c r="A9" s="127" t="s">
        <v>501</v>
      </c>
      <c r="B9" s="175" t="s">
        <v>24</v>
      </c>
      <c r="C9" s="176">
        <v>1.0</v>
      </c>
      <c r="D9" s="176">
        <v>2021.0</v>
      </c>
      <c r="E9" s="175" t="s">
        <v>314</v>
      </c>
      <c r="F9" s="177"/>
      <c r="G9" s="129"/>
    </row>
    <row r="10" ht="12.75" customHeight="1">
      <c r="A10" s="127" t="s">
        <v>502</v>
      </c>
      <c r="B10" s="175" t="s">
        <v>24</v>
      </c>
      <c r="C10" s="176">
        <v>2.0</v>
      </c>
      <c r="D10" s="176">
        <v>2022.0</v>
      </c>
      <c r="E10" s="179" t="s">
        <v>323</v>
      </c>
      <c r="F10" s="177"/>
      <c r="G10" s="129" t="s">
        <v>129</v>
      </c>
    </row>
    <row r="11" ht="12.75" customHeight="1">
      <c r="A11" s="180"/>
      <c r="B11" s="178"/>
      <c r="C11" s="178"/>
      <c r="D11" s="178"/>
      <c r="E11" s="178"/>
      <c r="F11" s="177"/>
    </row>
    <row r="12" ht="12.75" customHeight="1">
      <c r="A12" s="180"/>
      <c r="B12" s="178"/>
      <c r="C12" s="178"/>
      <c r="D12" s="178"/>
      <c r="E12" s="178"/>
      <c r="F12" s="178"/>
    </row>
    <row r="13" ht="12.75" customHeight="1">
      <c r="A13" s="135" t="s">
        <v>503</v>
      </c>
      <c r="B13" s="181" t="s">
        <v>63</v>
      </c>
      <c r="C13" s="182">
        <v>17.0</v>
      </c>
      <c r="D13" s="182">
        <v>2021.0</v>
      </c>
      <c r="E13" s="181" t="s">
        <v>314</v>
      </c>
      <c r="F13" s="183"/>
    </row>
    <row r="14" ht="12.75" customHeight="1">
      <c r="A14" s="137" t="s">
        <v>504</v>
      </c>
      <c r="B14" s="184" t="s">
        <v>63</v>
      </c>
      <c r="C14" s="185">
        <v>19.0</v>
      </c>
      <c r="D14" s="182">
        <v>2021.0</v>
      </c>
      <c r="E14" s="181" t="s">
        <v>314</v>
      </c>
      <c r="F14" s="183"/>
      <c r="G14" s="129" t="s">
        <v>129</v>
      </c>
    </row>
    <row r="15" ht="12.75" customHeight="1">
      <c r="A15" s="137" t="s">
        <v>505</v>
      </c>
      <c r="B15" s="184" t="s">
        <v>63</v>
      </c>
      <c r="C15" s="185">
        <v>13.0</v>
      </c>
      <c r="D15" s="182">
        <v>2021.0</v>
      </c>
      <c r="E15" s="181" t="s">
        <v>314</v>
      </c>
      <c r="F15" s="183"/>
      <c r="G15" s="129"/>
    </row>
    <row r="16" ht="12.75" customHeight="1">
      <c r="A16" s="137" t="s">
        <v>506</v>
      </c>
      <c r="B16" s="184" t="s">
        <v>63</v>
      </c>
      <c r="C16" s="185">
        <v>1.0</v>
      </c>
      <c r="D16" s="182">
        <v>2021.0</v>
      </c>
      <c r="E16" s="181" t="s">
        <v>314</v>
      </c>
      <c r="F16" s="183"/>
      <c r="G16" s="129"/>
    </row>
    <row r="17" ht="12.75" customHeight="1">
      <c r="A17" s="137" t="s">
        <v>507</v>
      </c>
      <c r="B17" s="184" t="s">
        <v>63</v>
      </c>
      <c r="C17" s="185">
        <v>1.0</v>
      </c>
      <c r="D17" s="182">
        <v>2021.0</v>
      </c>
      <c r="E17" s="181" t="s">
        <v>314</v>
      </c>
      <c r="F17" s="183"/>
      <c r="G17" s="123" t="s">
        <v>129</v>
      </c>
    </row>
    <row r="18" ht="12.75" customHeight="1">
      <c r="A18" s="137" t="s">
        <v>508</v>
      </c>
      <c r="B18" s="184" t="s">
        <v>63</v>
      </c>
      <c r="C18" s="185">
        <v>1.0</v>
      </c>
      <c r="D18" s="182">
        <v>2021.0</v>
      </c>
      <c r="E18" s="181" t="s">
        <v>314</v>
      </c>
      <c r="F18" s="183"/>
      <c r="G18" s="123"/>
    </row>
    <row r="19" ht="12.75" customHeight="1">
      <c r="A19" s="137" t="s">
        <v>509</v>
      </c>
      <c r="B19" s="184" t="s">
        <v>63</v>
      </c>
      <c r="C19" s="185">
        <v>11.0</v>
      </c>
      <c r="D19" s="182">
        <v>2022.0</v>
      </c>
      <c r="E19" s="186" t="s">
        <v>323</v>
      </c>
      <c r="F19" s="183"/>
      <c r="G19" s="123"/>
    </row>
    <row r="20" ht="12.75" customHeight="1">
      <c r="A20" s="137" t="s">
        <v>510</v>
      </c>
      <c r="B20" s="184" t="s">
        <v>63</v>
      </c>
      <c r="C20" s="185">
        <v>13.0</v>
      </c>
      <c r="D20" s="182">
        <v>2022.0</v>
      </c>
      <c r="E20" s="186" t="s">
        <v>323</v>
      </c>
      <c r="F20" s="183"/>
      <c r="G20" s="123"/>
    </row>
    <row r="21" ht="12.75" customHeight="1">
      <c r="A21" s="137" t="s">
        <v>511</v>
      </c>
      <c r="B21" s="184" t="s">
        <v>63</v>
      </c>
      <c r="C21" s="185">
        <v>1.0</v>
      </c>
      <c r="D21" s="182">
        <v>2022.0</v>
      </c>
      <c r="E21" s="186" t="s">
        <v>323</v>
      </c>
      <c r="F21" s="183"/>
      <c r="G21" s="123"/>
    </row>
    <row r="22" ht="12.75" customHeight="1">
      <c r="A22" s="206"/>
      <c r="B22" s="183"/>
      <c r="C22" s="183"/>
      <c r="D22" s="207"/>
      <c r="E22" s="178"/>
      <c r="F22" s="183"/>
      <c r="G22" s="123"/>
    </row>
    <row r="23" ht="12.75" customHeight="1">
      <c r="A23" s="143" t="s">
        <v>512</v>
      </c>
      <c r="B23" s="190" t="s">
        <v>111</v>
      </c>
      <c r="C23" s="191">
        <v>15.0</v>
      </c>
      <c r="D23" s="191">
        <v>2021.0</v>
      </c>
      <c r="E23" s="190" t="s">
        <v>314</v>
      </c>
      <c r="F23" s="192"/>
      <c r="G23" s="123" t="s">
        <v>129</v>
      </c>
    </row>
    <row r="24" ht="12.75" customHeight="1">
      <c r="A24" s="143" t="s">
        <v>513</v>
      </c>
      <c r="B24" s="190" t="s">
        <v>111</v>
      </c>
      <c r="C24" s="191">
        <v>1.0</v>
      </c>
      <c r="D24" s="191">
        <v>2022.0</v>
      </c>
      <c r="E24" s="193" t="s">
        <v>323</v>
      </c>
      <c r="F24" s="192"/>
      <c r="G24" s="123" t="s">
        <v>129</v>
      </c>
    </row>
    <row r="25" ht="12.75" customHeight="1">
      <c r="A25" s="198"/>
      <c r="B25" s="197"/>
      <c r="C25" s="197"/>
      <c r="D25" s="197"/>
      <c r="E25" s="197"/>
      <c r="F25" s="197"/>
      <c r="G25" s="123"/>
    </row>
    <row r="26" ht="12.75" customHeight="1">
      <c r="A26" s="198"/>
      <c r="B26" s="195" t="s">
        <v>124</v>
      </c>
      <c r="C26" s="197"/>
      <c r="D26" s="196">
        <v>2021.0</v>
      </c>
      <c r="E26" s="195" t="s">
        <v>314</v>
      </c>
      <c r="F26" s="197"/>
      <c r="G26" s="123"/>
    </row>
    <row r="27" ht="12.75" customHeight="1">
      <c r="A27" s="198"/>
      <c r="B27" s="197"/>
      <c r="C27" s="197"/>
      <c r="D27" s="197"/>
      <c r="E27" s="178"/>
      <c r="F27" s="197"/>
      <c r="G27" s="123" t="s">
        <v>319</v>
      </c>
    </row>
    <row r="28" ht="12.75" customHeight="1">
      <c r="A28" s="151" t="s">
        <v>264</v>
      </c>
      <c r="B28" s="200" t="s">
        <v>133</v>
      </c>
      <c r="C28" s="208">
        <v>1.0</v>
      </c>
      <c r="D28" s="208">
        <v>2021.0</v>
      </c>
      <c r="E28" s="200" t="s">
        <v>314</v>
      </c>
      <c r="F28" s="201"/>
      <c r="G28" s="123" t="s">
        <v>129</v>
      </c>
    </row>
    <row r="29" ht="12.75" customHeight="1">
      <c r="A29" s="199"/>
      <c r="B29" s="201"/>
      <c r="C29" s="202"/>
      <c r="D29" s="201"/>
      <c r="E29" s="178"/>
      <c r="F29" s="201"/>
      <c r="G29" s="123"/>
    </row>
    <row r="30" ht="12.75" customHeight="1">
      <c r="A30" s="209"/>
      <c r="B30" s="210"/>
      <c r="C30" s="210"/>
      <c r="D30" s="210"/>
      <c r="E30" s="178"/>
      <c r="F30" s="210"/>
      <c r="G30" s="129" t="s">
        <v>129</v>
      </c>
    </row>
    <row r="31" ht="12.75" customHeight="1">
      <c r="A31" s="156" t="s">
        <v>332</v>
      </c>
      <c r="B31" s="157"/>
      <c r="C31" s="158"/>
      <c r="D31" s="157"/>
      <c r="E31" s="157"/>
      <c r="F31" s="157"/>
      <c r="G31" s="123" t="s">
        <v>129</v>
      </c>
    </row>
    <row r="32" ht="12.75" customHeight="1">
      <c r="A32" s="159" t="s">
        <v>267</v>
      </c>
      <c r="B32" s="160"/>
      <c r="C32" s="161">
        <v>5.0</v>
      </c>
      <c r="D32" s="161">
        <v>2021.0</v>
      </c>
      <c r="E32" s="163" t="s">
        <v>314</v>
      </c>
      <c r="F32" s="157"/>
      <c r="G32" s="123" t="s">
        <v>129</v>
      </c>
    </row>
    <row r="33" ht="12.75" customHeight="1">
      <c r="A33" s="159" t="s">
        <v>514</v>
      </c>
      <c r="B33" s="160"/>
      <c r="C33" s="161">
        <v>2.0</v>
      </c>
      <c r="D33" s="161">
        <v>2021.0</v>
      </c>
      <c r="E33" s="163" t="s">
        <v>314</v>
      </c>
      <c r="F33" s="157"/>
      <c r="G33" s="123" t="s">
        <v>129</v>
      </c>
    </row>
    <row r="34" ht="12.75" customHeight="1">
      <c r="A34" s="159" t="s">
        <v>515</v>
      </c>
      <c r="B34" s="160"/>
      <c r="C34" s="161">
        <v>1.0</v>
      </c>
      <c r="D34" s="161">
        <v>2021.0</v>
      </c>
      <c r="E34" s="163" t="s">
        <v>314</v>
      </c>
      <c r="F34" s="157"/>
      <c r="G34" s="123" t="s">
        <v>129</v>
      </c>
    </row>
    <row r="35" ht="12.75" customHeight="1">
      <c r="A35" s="159" t="s">
        <v>275</v>
      </c>
      <c r="B35" s="160"/>
      <c r="C35" s="161">
        <v>1.0</v>
      </c>
      <c r="D35" s="161">
        <v>2021.0</v>
      </c>
      <c r="E35" s="163" t="s">
        <v>314</v>
      </c>
      <c r="F35" s="157"/>
    </row>
    <row r="36" ht="12.75" customHeight="1">
      <c r="A36" s="159" t="s">
        <v>516</v>
      </c>
      <c r="B36" s="160"/>
      <c r="C36" s="161">
        <v>1.0</v>
      </c>
      <c r="D36" s="161">
        <v>2021.0</v>
      </c>
      <c r="E36" s="163" t="s">
        <v>314</v>
      </c>
      <c r="F36" s="157"/>
    </row>
    <row r="37" ht="12.75" customHeight="1">
      <c r="A37" s="159" t="s">
        <v>278</v>
      </c>
      <c r="B37" s="160"/>
      <c r="C37" s="161">
        <v>1.0</v>
      </c>
      <c r="D37" s="161">
        <v>2021.0</v>
      </c>
      <c r="E37" s="163" t="s">
        <v>314</v>
      </c>
      <c r="F37" s="157"/>
    </row>
    <row r="38" ht="12.75" customHeight="1">
      <c r="A38" s="159" t="s">
        <v>279</v>
      </c>
      <c r="B38" s="164"/>
      <c r="C38" s="161">
        <v>1.0</v>
      </c>
      <c r="D38" s="161">
        <v>2021.0</v>
      </c>
      <c r="E38" s="163" t="s">
        <v>314</v>
      </c>
      <c r="F38" s="167"/>
    </row>
    <row r="39" ht="12.75" customHeight="1">
      <c r="A39" s="159" t="s">
        <v>517</v>
      </c>
      <c r="B39" s="164"/>
      <c r="C39" s="161">
        <v>1.0</v>
      </c>
      <c r="D39" s="161">
        <v>2021.0</v>
      </c>
      <c r="E39" s="163" t="s">
        <v>314</v>
      </c>
      <c r="F39" s="167"/>
    </row>
    <row r="40" ht="12.75" customHeight="1">
      <c r="A40" s="159" t="s">
        <v>518</v>
      </c>
      <c r="B40" s="164"/>
      <c r="C40" s="161">
        <v>1.0</v>
      </c>
      <c r="D40" s="161">
        <v>2021.0</v>
      </c>
      <c r="E40" s="163" t="s">
        <v>314</v>
      </c>
      <c r="F40" s="167"/>
    </row>
    <row r="41" ht="12.75" customHeight="1">
      <c r="A41" s="159" t="s">
        <v>281</v>
      </c>
      <c r="B41" s="164"/>
      <c r="C41" s="161">
        <v>1.0</v>
      </c>
      <c r="D41" s="161">
        <v>2021.0</v>
      </c>
      <c r="E41" s="163" t="s">
        <v>314</v>
      </c>
      <c r="F41" s="167"/>
    </row>
    <row r="42" ht="12.75" customHeight="1">
      <c r="A42" s="168" t="s">
        <v>339</v>
      </c>
      <c r="B42" s="169"/>
      <c r="C42" s="170">
        <v>229.0</v>
      </c>
      <c r="D42" s="169"/>
      <c r="E42" s="169"/>
      <c r="F42" s="169"/>
    </row>
    <row r="43" ht="12.75" customHeight="1">
      <c r="A43" s="169"/>
      <c r="B43" s="169"/>
      <c r="C43" s="170">
        <v>0.0</v>
      </c>
      <c r="D43" s="171"/>
      <c r="E43" s="171"/>
      <c r="F43" s="169"/>
    </row>
    <row r="44" ht="12.75" customHeight="1">
      <c r="A44" s="168" t="s">
        <v>340</v>
      </c>
      <c r="B44" s="169"/>
      <c r="C44" s="170">
        <v>21.0</v>
      </c>
      <c r="D44" s="169"/>
      <c r="E44" s="169"/>
      <c r="F44" s="169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116" t="s">
        <v>184</v>
      </c>
      <c r="B1" s="116"/>
      <c r="C1" s="116"/>
      <c r="D1" s="116"/>
      <c r="E1" s="116"/>
      <c r="F1" s="116"/>
    </row>
    <row r="2" ht="12.75" customHeight="1">
      <c r="A2" s="119" t="s">
        <v>7</v>
      </c>
      <c r="B2" s="119" t="s">
        <v>308</v>
      </c>
      <c r="C2" s="119" t="s">
        <v>341</v>
      </c>
      <c r="D2" s="119" t="s">
        <v>310</v>
      </c>
      <c r="E2" s="119" t="s">
        <v>342</v>
      </c>
      <c r="F2" s="119" t="s">
        <v>312</v>
      </c>
    </row>
    <row r="3" ht="12.75" customHeight="1">
      <c r="A3" s="122" t="s">
        <v>519</v>
      </c>
      <c r="B3" s="122" t="s">
        <v>9</v>
      </c>
      <c r="C3" s="122">
        <v>46.0</v>
      </c>
      <c r="D3" s="122">
        <v>2021.0</v>
      </c>
      <c r="E3" s="122" t="s">
        <v>323</v>
      </c>
      <c r="F3" s="122" t="s">
        <v>129</v>
      </c>
      <c r="G3" s="123" t="s">
        <v>129</v>
      </c>
    </row>
    <row r="4" ht="12.75" customHeight="1">
      <c r="A4" s="122"/>
      <c r="B4" s="122" t="s">
        <v>9</v>
      </c>
      <c r="C4" s="122"/>
      <c r="D4" s="122">
        <v>2021.0</v>
      </c>
      <c r="E4" s="122" t="s">
        <v>323</v>
      </c>
      <c r="F4" s="122"/>
      <c r="G4" s="123" t="s">
        <v>129</v>
      </c>
    </row>
    <row r="5" ht="12.75" customHeight="1">
      <c r="A5" s="122"/>
      <c r="B5" s="122" t="s">
        <v>9</v>
      </c>
      <c r="C5" s="122"/>
      <c r="D5" s="122">
        <v>2021.0</v>
      </c>
      <c r="E5" s="122" t="s">
        <v>323</v>
      </c>
      <c r="F5" s="122"/>
      <c r="G5" s="129" t="s">
        <v>129</v>
      </c>
    </row>
    <row r="6" ht="12.75" customHeight="1">
      <c r="A6" s="131" t="s">
        <v>428</v>
      </c>
      <c r="B6" s="131" t="s">
        <v>24</v>
      </c>
      <c r="C6" s="131">
        <v>39.0</v>
      </c>
      <c r="D6" s="131">
        <v>2021.0</v>
      </c>
      <c r="E6" s="131" t="s">
        <v>323</v>
      </c>
      <c r="F6" s="130"/>
      <c r="G6" s="123" t="s">
        <v>129</v>
      </c>
    </row>
    <row r="7" ht="12.75" customHeight="1">
      <c r="A7" s="131"/>
      <c r="B7" s="131" t="s">
        <v>24</v>
      </c>
      <c r="C7" s="131"/>
      <c r="D7" s="131">
        <v>2021.0</v>
      </c>
      <c r="E7" s="131" t="s">
        <v>323</v>
      </c>
      <c r="F7" s="131" t="s">
        <v>129</v>
      </c>
      <c r="G7" s="123" t="s">
        <v>319</v>
      </c>
    </row>
    <row r="8" ht="12.75" customHeight="1">
      <c r="A8" s="131"/>
      <c r="B8" s="131" t="s">
        <v>24</v>
      </c>
      <c r="C8" s="131"/>
      <c r="D8" s="131">
        <v>2021.0</v>
      </c>
      <c r="E8" s="131" t="s">
        <v>323</v>
      </c>
      <c r="F8" s="131" t="s">
        <v>129</v>
      </c>
      <c r="G8" s="129" t="s">
        <v>129</v>
      </c>
    </row>
    <row r="9" ht="12.75" customHeight="1">
      <c r="A9" s="131"/>
      <c r="B9" s="131" t="s">
        <v>24</v>
      </c>
      <c r="C9" s="131" t="s">
        <v>129</v>
      </c>
      <c r="D9" s="131">
        <v>2021.0</v>
      </c>
      <c r="E9" s="131" t="s">
        <v>323</v>
      </c>
      <c r="F9" s="131"/>
      <c r="G9" s="129" t="s">
        <v>129</v>
      </c>
    </row>
    <row r="10" ht="12.75" customHeight="1">
      <c r="A10" s="222" t="s">
        <v>69</v>
      </c>
      <c r="B10" s="222" t="s">
        <v>63</v>
      </c>
      <c r="C10" s="222">
        <v>24.0</v>
      </c>
      <c r="D10" s="222">
        <v>2021.0</v>
      </c>
      <c r="E10" s="222" t="s">
        <v>323</v>
      </c>
      <c r="F10" s="139"/>
      <c r="G10" s="123" t="s">
        <v>129</v>
      </c>
    </row>
    <row r="11" ht="12.75" customHeight="1">
      <c r="A11" s="139"/>
      <c r="B11" s="139" t="s">
        <v>63</v>
      </c>
      <c r="C11" s="139"/>
      <c r="D11" s="222">
        <v>2021.0</v>
      </c>
      <c r="E11" s="222" t="s">
        <v>323</v>
      </c>
      <c r="F11" s="139"/>
      <c r="G11" s="123" t="s">
        <v>129</v>
      </c>
    </row>
    <row r="12" ht="12.75" customHeight="1">
      <c r="A12" s="139" t="s">
        <v>319</v>
      </c>
      <c r="B12" s="139" t="s">
        <v>63</v>
      </c>
      <c r="C12" s="139" t="s">
        <v>129</v>
      </c>
      <c r="D12" s="222">
        <v>2021.0</v>
      </c>
      <c r="E12" s="222" t="s">
        <v>323</v>
      </c>
      <c r="F12" s="139"/>
      <c r="G12" s="123" t="s">
        <v>129</v>
      </c>
    </row>
    <row r="13" ht="12.75" customHeight="1">
      <c r="A13" s="139" t="s">
        <v>129</v>
      </c>
      <c r="B13" s="139" t="s">
        <v>63</v>
      </c>
      <c r="C13" s="139" t="s">
        <v>129</v>
      </c>
      <c r="D13" s="222">
        <v>2021.0</v>
      </c>
      <c r="E13" s="222" t="s">
        <v>323</v>
      </c>
      <c r="F13" s="139" t="s">
        <v>129</v>
      </c>
      <c r="G13" s="123" t="s">
        <v>319</v>
      </c>
    </row>
    <row r="14" ht="12.75" customHeight="1">
      <c r="A14" s="223" t="s">
        <v>494</v>
      </c>
      <c r="B14" s="223" t="s">
        <v>111</v>
      </c>
      <c r="C14" s="223">
        <v>6.0</v>
      </c>
      <c r="D14" s="223">
        <v>2021.0</v>
      </c>
      <c r="E14" s="223" t="s">
        <v>323</v>
      </c>
      <c r="F14" s="223"/>
      <c r="G14" s="123" t="s">
        <v>129</v>
      </c>
    </row>
    <row r="15" ht="12.75" customHeight="1">
      <c r="A15" s="223"/>
      <c r="B15" s="223" t="s">
        <v>111</v>
      </c>
      <c r="C15" s="223"/>
      <c r="D15" s="223">
        <v>2021.0</v>
      </c>
      <c r="E15" s="223" t="s">
        <v>323</v>
      </c>
      <c r="F15" s="223" t="s">
        <v>129</v>
      </c>
      <c r="G15" s="129" t="s">
        <v>129</v>
      </c>
    </row>
    <row r="16" ht="12.75" customHeight="1">
      <c r="A16" s="224" t="s">
        <v>128</v>
      </c>
      <c r="B16" s="224" t="s">
        <v>124</v>
      </c>
      <c r="C16" s="224">
        <v>2.0</v>
      </c>
      <c r="D16" s="224">
        <v>2021.0</v>
      </c>
      <c r="E16" s="224" t="s">
        <v>323</v>
      </c>
      <c r="F16" s="224"/>
      <c r="G16" s="123" t="s">
        <v>129</v>
      </c>
    </row>
    <row r="17" ht="12.75" customHeight="1">
      <c r="A17" s="224" t="s">
        <v>129</v>
      </c>
      <c r="B17" s="224" t="s">
        <v>124</v>
      </c>
      <c r="C17" s="224" t="s">
        <v>319</v>
      </c>
      <c r="D17" s="224">
        <v>2021.0</v>
      </c>
      <c r="E17" s="224" t="s">
        <v>323</v>
      </c>
      <c r="F17" s="224"/>
      <c r="G17" s="123" t="s">
        <v>129</v>
      </c>
    </row>
    <row r="18" ht="12.75" customHeight="1">
      <c r="A18" s="225" t="s">
        <v>520</v>
      </c>
      <c r="B18" s="225" t="s">
        <v>133</v>
      </c>
      <c r="C18" s="225">
        <v>1.0</v>
      </c>
      <c r="D18" s="225">
        <v>2021.0</v>
      </c>
      <c r="E18" s="225" t="s">
        <v>323</v>
      </c>
      <c r="F18" s="225"/>
      <c r="G18" s="123" t="s">
        <v>129</v>
      </c>
    </row>
    <row r="19" ht="12.75" customHeight="1">
      <c r="A19" s="225" t="s">
        <v>129</v>
      </c>
      <c r="B19" s="225" t="s">
        <v>133</v>
      </c>
      <c r="C19" s="225" t="s">
        <v>129</v>
      </c>
      <c r="D19" s="225">
        <v>2021.0</v>
      </c>
      <c r="E19" s="225" t="s">
        <v>323</v>
      </c>
      <c r="F19" s="225"/>
      <c r="G19" s="123" t="s">
        <v>129</v>
      </c>
    </row>
    <row r="20" ht="12.75" customHeight="1">
      <c r="A20" s="226" t="s">
        <v>268</v>
      </c>
      <c r="B20" s="226" t="s">
        <v>141</v>
      </c>
      <c r="C20" s="226">
        <v>5.0</v>
      </c>
      <c r="D20" s="226">
        <v>2021.0</v>
      </c>
      <c r="E20" s="226" t="s">
        <v>323</v>
      </c>
      <c r="F20" s="226" t="s">
        <v>129</v>
      </c>
    </row>
    <row r="21" ht="12.75" customHeight="1">
      <c r="A21" s="129" t="s">
        <v>339</v>
      </c>
      <c r="C21" s="129">
        <f>SUM(C3:C20)</f>
        <v>123</v>
      </c>
    </row>
    <row r="22" ht="12.75" customHeight="1">
      <c r="C22" s="129">
        <v>0.0</v>
      </c>
      <c r="D22" s="129" t="s">
        <v>129</v>
      </c>
      <c r="E22" s="129" t="s">
        <v>129</v>
      </c>
    </row>
    <row r="23" ht="12.75" customHeight="1">
      <c r="A23" s="129" t="s">
        <v>340</v>
      </c>
      <c r="C23" s="129">
        <f>200-C21-C22</f>
        <v>77</v>
      </c>
    </row>
    <row r="24" ht="12.75" customHeight="1"/>
    <row r="25" ht="12.75" customHeight="1">
      <c r="A25" s="129" t="s">
        <v>129</v>
      </c>
      <c r="B25" s="129" t="s">
        <v>129</v>
      </c>
      <c r="C25" s="129" t="s">
        <v>319</v>
      </c>
      <c r="D25" s="129" t="s">
        <v>129</v>
      </c>
      <c r="E25" s="129" t="s">
        <v>129</v>
      </c>
      <c r="F25" s="129" t="s">
        <v>129</v>
      </c>
    </row>
    <row r="26" ht="12.75" customHeight="1">
      <c r="A26" s="129" t="s">
        <v>129</v>
      </c>
      <c r="B26" s="129" t="s">
        <v>129</v>
      </c>
      <c r="C26" s="129" t="s">
        <v>129</v>
      </c>
      <c r="D26" s="129" t="s">
        <v>129</v>
      </c>
      <c r="E26" s="129" t="s">
        <v>319</v>
      </c>
      <c r="F26" s="129" t="s">
        <v>129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2011-11-03T18:53:53Z</dcterms:created>
  <dc:creator>vic breedlove</dc:creator>
</cp:coreProperties>
</file>