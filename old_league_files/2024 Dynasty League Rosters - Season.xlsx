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" sheetId="1" r:id="rId5"/>
    <sheet state="visible" name="2024" sheetId="2" r:id="rId6"/>
    <sheet state="visible" name="Aaron D" sheetId="3" r:id="rId7"/>
    <sheet state="visible" name="Andrew M" sheetId="4" r:id="rId8"/>
    <sheet state="visible" name="Caleb K" sheetId="5" r:id="rId9"/>
    <sheet state="visible" name="Chris G" sheetId="6" r:id="rId10"/>
    <sheet state="visible" name="Colby L" sheetId="7" r:id="rId11"/>
    <sheet state="visible" name="Dawson O" sheetId="8" r:id="rId12"/>
    <sheet state="visible" name="Josh C" sheetId="9" r:id="rId13"/>
    <sheet state="visible" name="Justin P" sheetId="10" r:id="rId14"/>
    <sheet state="visible" name="Nick F" sheetId="11" r:id="rId15"/>
    <sheet state="visible" name="Stephen P" sheetId="12" r:id="rId16"/>
    <sheet state="visible" name="2023" sheetId="13" r:id="rId17"/>
  </sheets>
  <definedNames/>
  <calcPr/>
</workbook>
</file>

<file path=xl/sharedStrings.xml><?xml version="1.0" encoding="utf-8"?>
<sst xmlns="http://schemas.openxmlformats.org/spreadsheetml/2006/main" count="1516" uniqueCount="336">
  <si>
    <t xml:space="preserve"> </t>
  </si>
  <si>
    <t>Draft Board</t>
  </si>
  <si>
    <t>Pick #</t>
  </si>
  <si>
    <t>Team Owner</t>
  </si>
  <si>
    <t>Player</t>
  </si>
  <si>
    <t>Salary</t>
  </si>
  <si>
    <t>Aaron</t>
  </si>
  <si>
    <t>Tyreek Hill</t>
  </si>
  <si>
    <t>Andrew</t>
  </si>
  <si>
    <t>Caleb</t>
  </si>
  <si>
    <t>Jonathan Taylor</t>
  </si>
  <si>
    <t>Stephen</t>
  </si>
  <si>
    <t>Josh Allen</t>
  </si>
  <si>
    <t>Chris</t>
  </si>
  <si>
    <t>Justin</t>
  </si>
  <si>
    <t>B Bowers</t>
  </si>
  <si>
    <t>Dawson</t>
  </si>
  <si>
    <t>Kyren Williams</t>
  </si>
  <si>
    <t>Josh C</t>
  </si>
  <si>
    <t>Carter</t>
  </si>
  <si>
    <t>Derrick Henry</t>
  </si>
  <si>
    <t>Justin P</t>
  </si>
  <si>
    <t>Nicholas</t>
  </si>
  <si>
    <t>Marvin Harrison Jr</t>
  </si>
  <si>
    <t>Nick F</t>
  </si>
  <si>
    <t>Travis Kelce</t>
  </si>
  <si>
    <t>Stephen P</t>
  </si>
  <si>
    <t>Josh Jacobs</t>
  </si>
  <si>
    <t>Colby L</t>
  </si>
  <si>
    <t>Colby</t>
  </si>
  <si>
    <t>Joe Mixon</t>
  </si>
  <si>
    <t>Puka Nacua</t>
  </si>
  <si>
    <t>Mark Andrews</t>
  </si>
  <si>
    <t>Tank Dell</t>
  </si>
  <si>
    <t>DK Metcalf</t>
  </si>
  <si>
    <t>George Kittle</t>
  </si>
  <si>
    <t>Xavier Worthy</t>
  </si>
  <si>
    <t>Stefon Diggs</t>
  </si>
  <si>
    <t>Zamir White</t>
  </si>
  <si>
    <t>Malik Nabers</t>
  </si>
  <si>
    <t>Keon Coleman</t>
  </si>
  <si>
    <t>Rome Odunze</t>
  </si>
  <si>
    <t>Kyler Murray</t>
  </si>
  <si>
    <t>Trey? McBride</t>
  </si>
  <si>
    <t>Jordan Love</t>
  </si>
  <si>
    <t>Zack Moss</t>
  </si>
  <si>
    <t>Trey Benson</t>
  </si>
  <si>
    <t>Devin Singletary</t>
  </si>
  <si>
    <t>Jayden Daniels</t>
  </si>
  <si>
    <t>Terry McLaurin</t>
  </si>
  <si>
    <t>Raheem Mostert</t>
  </si>
  <si>
    <t>TRADE IN PROGRESS:</t>
  </si>
  <si>
    <t>Aaron D</t>
  </si>
  <si>
    <t>Andrew M</t>
  </si>
  <si>
    <t>Caleb K</t>
  </si>
  <si>
    <t>Chris G</t>
  </si>
  <si>
    <t>Team 1 Before</t>
  </si>
  <si>
    <t>Team 1 After</t>
  </si>
  <si>
    <t>Team 2 Before</t>
  </si>
  <si>
    <t>Team 2 After</t>
  </si>
  <si>
    <t>Pos</t>
  </si>
  <si>
    <t>$</t>
  </si>
  <si>
    <t>QB</t>
  </si>
  <si>
    <t>P. Mahomes</t>
  </si>
  <si>
    <t>L. Jackson</t>
  </si>
  <si>
    <t>A. Richardson</t>
  </si>
  <si>
    <t>W. Levis</t>
  </si>
  <si>
    <t>K. Cousins</t>
  </si>
  <si>
    <t>T. Tagovailoa</t>
  </si>
  <si>
    <t>J. Hurts</t>
  </si>
  <si>
    <t>J. Daniels</t>
  </si>
  <si>
    <t>J. Love</t>
  </si>
  <si>
    <t>G. Smith</t>
  </si>
  <si>
    <t>C. Williams</t>
  </si>
  <si>
    <t>RB</t>
  </si>
  <si>
    <t>B. Hall</t>
  </si>
  <si>
    <t>Bijan Robinson</t>
  </si>
  <si>
    <t>JK Dobbins</t>
  </si>
  <si>
    <t>J. Connor</t>
  </si>
  <si>
    <t>I. Pacheco</t>
  </si>
  <si>
    <t>S. Barkley</t>
  </si>
  <si>
    <t>K. Herbert</t>
  </si>
  <si>
    <t>K. Walker</t>
  </si>
  <si>
    <t>A Jones ($12 being paid by Dawson to be added next year)</t>
  </si>
  <si>
    <t>Rac. White</t>
  </si>
  <si>
    <t>J. Cook</t>
  </si>
  <si>
    <t>D. Montgomery</t>
  </si>
  <si>
    <t>T. Etienne</t>
  </si>
  <si>
    <t>T. Pollard</t>
  </si>
  <si>
    <t>B. Corum</t>
  </si>
  <si>
    <t>K. Miller</t>
  </si>
  <si>
    <t>J. Mixon</t>
  </si>
  <si>
    <t>J. Warren</t>
  </si>
  <si>
    <t>B. Robinson</t>
  </si>
  <si>
    <t>D. Achane</t>
  </si>
  <si>
    <t>Ros. Johnson</t>
  </si>
  <si>
    <t>J. Brooks</t>
  </si>
  <si>
    <t>J. Ford</t>
  </si>
  <si>
    <t>C. Brown</t>
  </si>
  <si>
    <t>J. Wright</t>
  </si>
  <si>
    <t>T. Spears</t>
  </si>
  <si>
    <t>J Taylor</t>
  </si>
  <si>
    <t>T. Allgeier</t>
  </si>
  <si>
    <t>A. Estime</t>
  </si>
  <si>
    <t>Z. White</t>
  </si>
  <si>
    <t>WR</t>
  </si>
  <si>
    <t>T. Hill</t>
  </si>
  <si>
    <t>D. Adams</t>
  </si>
  <si>
    <t>B. Aiyuk</t>
  </si>
  <si>
    <t>C. Lamb</t>
  </si>
  <si>
    <t>C. Godwin</t>
  </si>
  <si>
    <t>AJ Brown</t>
  </si>
  <si>
    <t>Dev. Smith</t>
  </si>
  <si>
    <t>C. Olave</t>
  </si>
  <si>
    <t>Jame. Williams</t>
  </si>
  <si>
    <t>J. Addison</t>
  </si>
  <si>
    <t>A. Cooper</t>
  </si>
  <si>
    <t>D'tae. Johnson</t>
  </si>
  <si>
    <t>J. Waddle</t>
  </si>
  <si>
    <t>G. Wilson</t>
  </si>
  <si>
    <t>J. Meyers</t>
  </si>
  <si>
    <t>G. Pickens</t>
  </si>
  <si>
    <t>M. Brown</t>
  </si>
  <si>
    <t>D. London</t>
  </si>
  <si>
    <t>N. Collins</t>
  </si>
  <si>
    <t>J. Reed</t>
  </si>
  <si>
    <t>R. Bateman</t>
  </si>
  <si>
    <t>P. Nacua</t>
  </si>
  <si>
    <t>R. Shaheed</t>
  </si>
  <si>
    <t>R. Odunze</t>
  </si>
  <si>
    <t>K. Shakir</t>
  </si>
  <si>
    <t>L. McConkey</t>
  </si>
  <si>
    <t>M. Harrison Jr</t>
  </si>
  <si>
    <t>B. Thomas</t>
  </si>
  <si>
    <t>M. Nabers</t>
  </si>
  <si>
    <t>TE</t>
  </si>
  <si>
    <t>S. La Porta</t>
  </si>
  <si>
    <t>M. Andrews</t>
  </si>
  <si>
    <t>K. Pitts</t>
  </si>
  <si>
    <t>J. Ferguson</t>
  </si>
  <si>
    <t>C. Kmet</t>
  </si>
  <si>
    <t>L. Musgraves</t>
  </si>
  <si>
    <t>TJ Hockenson</t>
  </si>
  <si>
    <t>T. McBride</t>
  </si>
  <si>
    <t>G. Everett</t>
  </si>
  <si>
    <t>D. Njoku</t>
  </si>
  <si>
    <t>K</t>
  </si>
  <si>
    <t>C. McLaughlin</t>
  </si>
  <si>
    <t>E. McPherson</t>
  </si>
  <si>
    <t>D. Carlsen</t>
  </si>
  <si>
    <t>J. Myers</t>
  </si>
  <si>
    <t>B. Aubrey</t>
  </si>
  <si>
    <t>J. Sanders</t>
  </si>
  <si>
    <t>DST</t>
  </si>
  <si>
    <t>Dolphins</t>
  </si>
  <si>
    <t>Bills</t>
  </si>
  <si>
    <t>Raiders</t>
  </si>
  <si>
    <t>Cowboys</t>
  </si>
  <si>
    <t>Eagles</t>
  </si>
  <si>
    <t>Broncos</t>
  </si>
  <si>
    <t>CUT</t>
  </si>
  <si>
    <t>Cut Penalty</t>
  </si>
  <si>
    <t>D. Watson</t>
  </si>
  <si>
    <t>T. Bigsby</t>
  </si>
  <si>
    <t>J Downs A Mitchell</t>
  </si>
  <si>
    <t>Salary Cap</t>
  </si>
  <si>
    <t>Total Salary</t>
  </si>
  <si>
    <t>Budget</t>
  </si>
  <si>
    <t>Dawson O</t>
  </si>
  <si>
    <t>CJ Stroud</t>
  </si>
  <si>
    <t>J. Herbert</t>
  </si>
  <si>
    <t>T. Lawrence</t>
  </si>
  <si>
    <t>J. Fields</t>
  </si>
  <si>
    <t>J. Burrow</t>
  </si>
  <si>
    <t>A. Rodgers</t>
  </si>
  <si>
    <t>J. Allen</t>
  </si>
  <si>
    <t>J. Goff</t>
  </si>
  <si>
    <t>R. Stevenson</t>
  </si>
  <si>
    <t>D. Swift</t>
  </si>
  <si>
    <t>Jav. Williams</t>
  </si>
  <si>
    <t>C. McCaffery</t>
  </si>
  <si>
    <t>Z. Charbonnet</t>
  </si>
  <si>
    <t>D. Cook</t>
  </si>
  <si>
    <t>N. Harris</t>
  </si>
  <si>
    <t>J. Gibbs</t>
  </si>
  <si>
    <t>K. Williams</t>
  </si>
  <si>
    <t>D. Henry</t>
  </si>
  <si>
    <t>A. Kamara</t>
  </si>
  <si>
    <t>C. Brooks</t>
  </si>
  <si>
    <t>J. McLaughlin</t>
  </si>
  <si>
    <t>T. Benson</t>
  </si>
  <si>
    <t>Z. Moss</t>
  </si>
  <si>
    <t>S. Tucker</t>
  </si>
  <si>
    <t>J Jacobs</t>
  </si>
  <si>
    <t>D. Singletary</t>
  </si>
  <si>
    <t>D. Hopkins</t>
  </si>
  <si>
    <t>J. Jefferson</t>
  </si>
  <si>
    <t>J. Smith-Njigba</t>
  </si>
  <si>
    <t>C. Kupp</t>
  </si>
  <si>
    <t>D. Samuel</t>
  </si>
  <si>
    <t>Z. Flowers</t>
  </si>
  <si>
    <t>DJ Moore</t>
  </si>
  <si>
    <t>T. Higgins</t>
  </si>
  <si>
    <t>J. Chase</t>
  </si>
  <si>
    <t>M. Evans</t>
  </si>
  <si>
    <t>Ras. Rice</t>
  </si>
  <si>
    <t>AR. St Brown</t>
  </si>
  <si>
    <t>T. Lockett</t>
  </si>
  <si>
    <t>X. Worthy</t>
  </si>
  <si>
    <t>D. Mooney</t>
  </si>
  <si>
    <t>M. Pittman</t>
  </si>
  <si>
    <t>T. Dell</t>
  </si>
  <si>
    <t>S. Diggs</t>
  </si>
  <si>
    <t>K. Coleman</t>
  </si>
  <si>
    <t>J. Palmer</t>
  </si>
  <si>
    <t>G. Dulcich</t>
  </si>
  <si>
    <t>D. Kincaid</t>
  </si>
  <si>
    <t>E. Engram</t>
  </si>
  <si>
    <t>Kelce</t>
  </si>
  <si>
    <t>G. Kittle</t>
  </si>
  <si>
    <t>B. Bowers</t>
  </si>
  <si>
    <t>D. Goedert</t>
  </si>
  <si>
    <t>J. Tucker</t>
  </si>
  <si>
    <t>Y. Koo</t>
  </si>
  <si>
    <t>H. Butker</t>
  </si>
  <si>
    <t>C. Dicker</t>
  </si>
  <si>
    <t>T. Bass</t>
  </si>
  <si>
    <t>Jets</t>
  </si>
  <si>
    <t>Ravens</t>
  </si>
  <si>
    <t>49ers</t>
  </si>
  <si>
    <t>Commanders</t>
  </si>
  <si>
    <t>B Young</t>
  </si>
  <si>
    <t>A Jones (Absorbing salary from Caleb for this year only)</t>
  </si>
  <si>
    <t xml:space="preserve">   </t>
  </si>
  <si>
    <t>2023 Salary</t>
  </si>
  <si>
    <t>Status</t>
  </si>
  <si>
    <t>2024 Salary</t>
  </si>
  <si>
    <t>2025 Salary</t>
  </si>
  <si>
    <t>NA 2025</t>
  </si>
  <si>
    <t>FLEX</t>
  </si>
  <si>
    <t>Salary:</t>
  </si>
  <si>
    <t>Budget:</t>
  </si>
  <si>
    <t>Available:</t>
  </si>
  <si>
    <t>Gibson</t>
  </si>
  <si>
    <t>Akers</t>
  </si>
  <si>
    <t>Dillon</t>
  </si>
  <si>
    <t>Mingo</t>
  </si>
  <si>
    <t>Goedert</t>
  </si>
  <si>
    <t>2026 Salary</t>
  </si>
  <si>
    <t>Diggs</t>
  </si>
  <si>
    <t>D Jones</t>
  </si>
  <si>
    <t>B. Young</t>
  </si>
  <si>
    <t>J. Downs</t>
  </si>
  <si>
    <t>Ekeler</t>
  </si>
  <si>
    <t>Chubb</t>
  </si>
  <si>
    <t>Sanders</t>
  </si>
  <si>
    <t>McLaurin</t>
  </si>
  <si>
    <t>Jeudy</t>
  </si>
  <si>
    <t>A. Jones</t>
  </si>
  <si>
    <t>Mattison</t>
  </si>
  <si>
    <t>Johnston</t>
  </si>
  <si>
    <t>D. Prescott</t>
  </si>
  <si>
    <t>D. Jones</t>
  </si>
  <si>
    <t>M. Stafford</t>
  </si>
  <si>
    <t>K. Pickett</t>
  </si>
  <si>
    <t>D. Pierce</t>
  </si>
  <si>
    <t>A. Ekeler</t>
  </si>
  <si>
    <t>N. Chubb</t>
  </si>
  <si>
    <t>Khalil Herbert</t>
  </si>
  <si>
    <t>J. Taylor</t>
  </si>
  <si>
    <t>J. Jacobs</t>
  </si>
  <si>
    <t>M. Sanders</t>
  </si>
  <si>
    <t>A. Gibson</t>
  </si>
  <si>
    <t>C. Akers</t>
  </si>
  <si>
    <t>I. Spiller</t>
  </si>
  <si>
    <t>AJ Dillon</t>
  </si>
  <si>
    <t>Zam. White</t>
  </si>
  <si>
    <t>Bri. Robinson</t>
  </si>
  <si>
    <t>K. Gainwell</t>
  </si>
  <si>
    <t>D. Smith</t>
  </si>
  <si>
    <t>K. Allen</t>
  </si>
  <si>
    <t>T. McLaurin</t>
  </si>
  <si>
    <t>J. Jeudy</t>
  </si>
  <si>
    <t>K. Toney</t>
  </si>
  <si>
    <t>J. Dotson</t>
  </si>
  <si>
    <t>C. Ridley</t>
  </si>
  <si>
    <t>R. Doubs</t>
  </si>
  <si>
    <t>C. Watson</t>
  </si>
  <si>
    <t>J. Mingo</t>
  </si>
  <si>
    <t>V. Jefferson</t>
  </si>
  <si>
    <t>J. Smith-Schuster</t>
  </si>
  <si>
    <t>Skyy Moore</t>
  </si>
  <si>
    <t>D. Waller</t>
  </si>
  <si>
    <t>D. Knox</t>
  </si>
  <si>
    <t>S. LaPorta</t>
  </si>
  <si>
    <t>P. Friermuth</t>
  </si>
  <si>
    <t>O. Beckham Jr</t>
  </si>
  <si>
    <t>E. Moore</t>
  </si>
  <si>
    <t>Z. Ertz</t>
  </si>
  <si>
    <t>K. Murray</t>
  </si>
  <si>
    <t>M. Pittman (Dawson trade, 23-24 season only)</t>
  </si>
  <si>
    <t>D. Bell</t>
  </si>
  <si>
    <t>D. Harris</t>
  </si>
  <si>
    <t>D. Montgomerey</t>
  </si>
  <si>
    <t>M. Carter</t>
  </si>
  <si>
    <t>R. Mostert</t>
  </si>
  <si>
    <t>Jamaal Williams</t>
  </si>
  <si>
    <t>C. Patterson</t>
  </si>
  <si>
    <t>A. Mattison</t>
  </si>
  <si>
    <t>T. Algeier</t>
  </si>
  <si>
    <t>M. Gordon</t>
  </si>
  <si>
    <t>Deon Jackson</t>
  </si>
  <si>
    <t>M. Breida</t>
  </si>
  <si>
    <t>J. McKinnon</t>
  </si>
  <si>
    <t>Dion. Johnson</t>
  </si>
  <si>
    <t>AR St. Brown</t>
  </si>
  <si>
    <t>M. Williams</t>
  </si>
  <si>
    <t>C. Sutton</t>
  </si>
  <si>
    <t>Quen. Johnson</t>
  </si>
  <si>
    <t>T. Burks</t>
  </si>
  <si>
    <t>G. Davis</t>
  </si>
  <si>
    <t>C. Kirk</t>
  </si>
  <si>
    <t>M. Thomas</t>
  </si>
  <si>
    <t>B. Cooks</t>
  </si>
  <si>
    <t>D. Duvernay</t>
  </si>
  <si>
    <t>A. Thielen</t>
  </si>
  <si>
    <t>T. Kelce</t>
  </si>
  <si>
    <t>TJ Hockensen</t>
  </si>
  <si>
    <t>D. Schultz</t>
  </si>
  <si>
    <t>A. Hooper</t>
  </si>
  <si>
    <t>San Francisco</t>
  </si>
  <si>
    <t>S. Perine</t>
  </si>
  <si>
    <t>Salary Relief from Aaron (23-24 season only)</t>
  </si>
  <si>
    <t>A. Lazard</t>
  </si>
  <si>
    <t>A. Abdullah</t>
  </si>
  <si>
    <t>H. Renfrow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</si>
</sst>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theme="1"/>
      <name val="Calibri"/>
    </font>
    <font>
      <b/>
      <color theme="1"/>
      <name val="Arial"/>
    </font>
    <font>
      <b/>
      <sz val="10.0"/>
      <color theme="1"/>
      <name val="Arial"/>
    </font>
    <font>
      <color rgb="FF7F7F7F"/>
      <name val="Arial"/>
    </font>
    <font>
      <color rgb="FF999999"/>
      <name val="Arial"/>
      <scheme val="minor"/>
    </font>
    <font>
      <color theme="1"/>
      <name val="Arial"/>
    </font>
    <font>
      <color rgb="FF999999"/>
      <name val="Arial"/>
    </font>
    <font>
      <color theme="0"/>
      <name val="Arial"/>
      <scheme val="minor"/>
    </font>
    <font>
      <color rgb="FF000000"/>
      <name val="Arial"/>
    </font>
    <font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EFEFEF"/>
        <bgColor rgb="FFEFEFE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BFBFBF"/>
      </right>
      <bottom style="thin">
        <color rgb="FF999999"/>
      </bottom>
    </border>
    <border>
      <right style="thin">
        <color rgb="FFBFBFBF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right style="thin">
        <color rgb="FFBFBFBF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</border>
    <border>
      <right style="thin">
        <color rgb="FF999999"/>
      </right>
    </border>
    <border>
      <right style="thin">
        <color rgb="FF000000"/>
      </right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000000"/>
      </top>
    </border>
    <border>
      <top style="thin">
        <color rgb="FF000000"/>
      </top>
    </border>
    <border>
      <right style="thin">
        <color rgb="FF999999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999999"/>
      </right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999999"/>
      </lef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1" xfId="0" applyFont="1" applyNumberFormat="1"/>
    <xf borderId="2" fillId="0" fontId="3" numFmtId="1" xfId="0" applyBorder="1" applyFont="1" applyNumberFormat="1"/>
    <xf borderId="2" fillId="2" fontId="4" numFmtId="1" xfId="0" applyAlignment="1" applyBorder="1" applyFill="1" applyFont="1" applyNumberFormat="1">
      <alignment horizontal="right"/>
    </xf>
    <xf borderId="2" fillId="2" fontId="4" numFmtId="1" xfId="0" applyAlignment="1" applyBorder="1" applyFont="1" applyNumberFormat="1">
      <alignment horizontal="right" readingOrder="0"/>
    </xf>
    <xf borderId="0" fillId="0" fontId="5" numFmtId="1" xfId="0" applyAlignment="1" applyFont="1" applyNumberFormat="1">
      <alignment horizontal="right" readingOrder="0"/>
    </xf>
    <xf borderId="0" fillId="2" fontId="5" numFmtId="1" xfId="0" applyAlignment="1" applyFont="1" applyNumberFormat="1">
      <alignment horizontal="right"/>
    </xf>
    <xf borderId="0" fillId="0" fontId="6" numFmtId="1" xfId="0" applyAlignment="1" applyFont="1" applyNumberFormat="1">
      <alignment horizontal="center"/>
    </xf>
    <xf borderId="3" fillId="3" fontId="6" numFmtId="1" xfId="0" applyAlignment="1" applyBorder="1" applyFill="1" applyFont="1" applyNumberFormat="1">
      <alignment horizontal="center"/>
    </xf>
    <xf borderId="4" fillId="3" fontId="6" numFmtId="1" xfId="0" applyAlignment="1" applyBorder="1" applyFont="1" applyNumberFormat="1">
      <alignment horizontal="right"/>
    </xf>
    <xf borderId="4" fillId="3" fontId="6" numFmtId="1" xfId="0" applyAlignment="1" applyBorder="1" applyFont="1" applyNumberFormat="1">
      <alignment horizontal="center"/>
    </xf>
    <xf borderId="5" fillId="3" fontId="6" numFmtId="1" xfId="0" applyAlignment="1" applyBorder="1" applyFont="1" applyNumberFormat="1">
      <alignment horizontal="center"/>
    </xf>
    <xf borderId="6" fillId="3" fontId="6" numFmtId="1" xfId="0" applyAlignment="1" applyBorder="1" applyFont="1" applyNumberFormat="1">
      <alignment horizontal="center"/>
    </xf>
    <xf borderId="3" fillId="3" fontId="6" numFmtId="1" xfId="0" applyAlignment="1" applyBorder="1" applyFont="1" applyNumberFormat="1">
      <alignment horizontal="right"/>
    </xf>
    <xf borderId="7" fillId="3" fontId="6" numFmtId="1" xfId="0" applyAlignment="1" applyBorder="1" applyFont="1" applyNumberFormat="1">
      <alignment horizontal="right"/>
    </xf>
    <xf borderId="8" fillId="3" fontId="6" numFmtId="1" xfId="0" applyAlignment="1" applyBorder="1" applyFont="1" applyNumberFormat="1">
      <alignment horizontal="center"/>
    </xf>
    <xf borderId="9" fillId="3" fontId="6" numFmtId="1" xfId="0" applyAlignment="1" applyBorder="1" applyFont="1" applyNumberFormat="1">
      <alignment horizontal="right"/>
    </xf>
    <xf borderId="0" fillId="0" fontId="7" numFmtId="0" xfId="0" applyAlignment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0" fillId="0" fontId="1" numFmtId="0" xfId="0" applyFont="1"/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/>
    </xf>
    <xf borderId="12" fillId="0" fontId="7" numFmtId="0" xfId="0" applyAlignment="1" applyBorder="1" applyFont="1">
      <alignment horizontal="center" readingOrder="0"/>
    </xf>
    <xf borderId="13" fillId="0" fontId="7" numFmtId="0" xfId="0" applyAlignment="1" applyBorder="1" applyFont="1">
      <alignment horizontal="center" readingOrder="0"/>
    </xf>
    <xf borderId="14" fillId="0" fontId="1" numFmtId="0" xfId="0" applyBorder="1" applyFont="1"/>
    <xf borderId="5" fillId="0" fontId="1" numFmtId="0" xfId="0" applyAlignment="1" applyBorder="1" applyFont="1">
      <alignment horizontal="center"/>
    </xf>
    <xf borderId="14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/>
    </xf>
    <xf borderId="0" fillId="0" fontId="8" numFmtId="0" xfId="0" applyAlignment="1" applyFont="1">
      <alignment readingOrder="0" vertical="bottom"/>
    </xf>
    <xf borderId="11" fillId="0" fontId="8" numFmtId="0" xfId="0" applyAlignment="1" applyBorder="1" applyFont="1">
      <alignment horizontal="center" readingOrder="0" vertical="bottom"/>
    </xf>
    <xf borderId="11" fillId="0" fontId="1" numFmtId="0" xfId="0" applyAlignment="1" applyBorder="1" applyFont="1">
      <alignment horizontal="center"/>
    </xf>
    <xf borderId="0" fillId="0" fontId="8" numFmtId="0" xfId="0" applyAlignment="1" applyFont="1">
      <alignment vertical="bottom"/>
    </xf>
    <xf borderId="11" fillId="0" fontId="8" numFmtId="0" xfId="0" applyAlignment="1" applyBorder="1" applyFont="1">
      <alignment horizontal="center" vertical="bottom"/>
    </xf>
    <xf borderId="15" fillId="0" fontId="7" numFmtId="0" xfId="0" applyAlignment="1" applyBorder="1" applyFont="1">
      <alignment horizontal="center" readingOrder="0"/>
    </xf>
    <xf borderId="16" fillId="0" fontId="1" numFmtId="0" xfId="0" applyBorder="1" applyFont="1"/>
    <xf borderId="17" fillId="0" fontId="1" numFmtId="0" xfId="0" applyAlignment="1" applyBorder="1" applyFont="1">
      <alignment horizontal="center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horizontal="center" readingOrder="0"/>
    </xf>
    <xf borderId="16" fillId="0" fontId="8" numFmtId="0" xfId="0" applyAlignment="1" applyBorder="1" applyFont="1">
      <alignment vertical="bottom"/>
    </xf>
    <xf borderId="17" fillId="0" fontId="8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readingOrder="0"/>
    </xf>
    <xf borderId="0" fillId="4" fontId="1" numFmtId="0" xfId="0" applyAlignment="1" applyFill="1" applyFont="1">
      <alignment readingOrder="0"/>
    </xf>
    <xf borderId="11" fillId="4" fontId="1" numFmtId="0" xfId="0" applyAlignment="1" applyBorder="1" applyFont="1">
      <alignment horizontal="center" readingOrder="0"/>
    </xf>
    <xf borderId="0" fillId="4" fontId="1" numFmtId="0" xfId="0" applyFont="1"/>
    <xf borderId="11" fillId="4" fontId="1" numFmtId="0" xfId="0" applyAlignment="1" applyBorder="1" applyFont="1">
      <alignment horizontal="center"/>
    </xf>
    <xf borderId="19" fillId="4" fontId="1" numFmtId="0" xfId="0" applyAlignment="1" applyBorder="1" applyFont="1">
      <alignment readingOrder="0"/>
    </xf>
    <xf borderId="20" fillId="0" fontId="7" numFmtId="0" xfId="0" applyAlignment="1" applyBorder="1" applyFont="1">
      <alignment horizontal="center" readingOrder="0"/>
    </xf>
    <xf borderId="2" fillId="4" fontId="1" numFmtId="0" xfId="0" applyBorder="1" applyFont="1"/>
    <xf borderId="21" fillId="4" fontId="1" numFmtId="0" xfId="0" applyAlignment="1" applyBorder="1" applyFont="1">
      <alignment horizontal="center"/>
    </xf>
    <xf borderId="2" fillId="4" fontId="1" numFmtId="0" xfId="0" applyAlignment="1" applyBorder="1" applyFont="1">
      <alignment readingOrder="0"/>
    </xf>
    <xf borderId="21" fillId="4" fontId="1" numFmtId="0" xfId="0" applyAlignment="1" applyBorder="1" applyFont="1">
      <alignment horizontal="center" readingOrder="0"/>
    </xf>
    <xf borderId="22" fillId="0" fontId="7" numFmtId="0" xfId="0" applyAlignment="1" applyBorder="1" applyFont="1">
      <alignment horizontal="center" readingOrder="0"/>
    </xf>
    <xf borderId="23" fillId="4" fontId="1" numFmtId="0" xfId="0" applyAlignment="1" applyBorder="1" applyFont="1">
      <alignment readingOrder="0"/>
    </xf>
    <xf borderId="0" fillId="0" fontId="7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5" numFmtId="1" xfId="0" applyAlignment="1" applyFont="1" applyNumberFormat="1">
      <alignment horizontal="right"/>
    </xf>
    <xf borderId="0" fillId="2" fontId="3" numFmtId="1" xfId="0" applyFont="1" applyNumberFormat="1"/>
    <xf borderId="24" fillId="3" fontId="6" numFmtId="1" xfId="0" applyAlignment="1" applyBorder="1" applyFont="1" applyNumberFormat="1">
      <alignment horizontal="center"/>
    </xf>
    <xf borderId="25" fillId="3" fontId="6" numFmtId="1" xfId="0" applyAlignment="1" applyBorder="1" applyFont="1" applyNumberFormat="1">
      <alignment horizontal="right"/>
    </xf>
    <xf borderId="26" fillId="3" fontId="6" numFmtId="1" xfId="0" applyAlignment="1" applyBorder="1" applyFont="1" applyNumberFormat="1">
      <alignment horizontal="center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horizontal="right" vertical="bottom"/>
    </xf>
    <xf borderId="1" fillId="0" fontId="8" numFmtId="164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right" vertical="bottom"/>
    </xf>
    <xf borderId="1" fillId="0" fontId="8" numFmtId="164" xfId="0" applyAlignment="1" applyBorder="1" applyFont="1" applyNumberFormat="1">
      <alignment horizontal="right" vertical="bottom"/>
    </xf>
    <xf borderId="1" fillId="0" fontId="8" numFmtId="164" xfId="0" applyAlignment="1" applyBorder="1" applyFont="1" applyNumberFormat="1">
      <alignment readingOrder="0" vertical="bottom"/>
    </xf>
    <xf borderId="16" fillId="0" fontId="8" numFmtId="0" xfId="0" applyAlignment="1" applyBorder="1" applyFont="1">
      <alignment horizontal="right" vertical="bottom"/>
    </xf>
    <xf borderId="0" fillId="0" fontId="8" numFmtId="0" xfId="0" applyAlignment="1" applyFont="1">
      <alignment horizontal="center" readingOrder="0" vertical="bottom"/>
    </xf>
    <xf borderId="1" fillId="0" fontId="8" numFmtId="164" xfId="0" applyAlignment="1" applyBorder="1" applyFont="1" applyNumberFormat="1">
      <alignment vertical="bottom"/>
    </xf>
    <xf borderId="0" fillId="0" fontId="8" numFmtId="0" xfId="0" applyAlignment="1" applyFont="1">
      <alignment horizontal="right" readingOrder="0" vertical="bottom"/>
    </xf>
    <xf borderId="2" fillId="0" fontId="8" numFmtId="0" xfId="0" applyAlignment="1" applyBorder="1" applyFont="1">
      <alignment horizontal="center" vertical="bottom"/>
    </xf>
    <xf borderId="12" fillId="0" fontId="8" numFmtId="0" xfId="0" applyAlignment="1" applyBorder="1" applyFont="1">
      <alignment horizontal="right" vertical="bottom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vertical="bottom"/>
    </xf>
    <xf borderId="1" fillId="0" fontId="8" numFmtId="0" xfId="0" applyAlignment="1" applyBorder="1" applyFont="1">
      <alignment horizontal="right" readingOrder="0" vertical="bottom"/>
    </xf>
    <xf borderId="1" fillId="0" fontId="12" numFmtId="0" xfId="0" applyAlignment="1" applyBorder="1" applyFont="1">
      <alignment vertical="bottom"/>
    </xf>
    <xf borderId="0" fillId="0" fontId="1" numFmtId="0" xfId="0" applyFont="1"/>
    <xf borderId="27" fillId="0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  <col customWidth="1" min="5" max="5" width="24.0"/>
  </cols>
  <sheetData>
    <row r="1">
      <c r="A1" s="1" t="s">
        <v>0</v>
      </c>
    </row>
    <row r="2">
      <c r="C2" s="1" t="s">
        <v>1</v>
      </c>
    </row>
    <row r="4">
      <c r="C4" s="1" t="s">
        <v>2</v>
      </c>
      <c r="D4" s="1" t="s">
        <v>3</v>
      </c>
      <c r="E4" s="1" t="s">
        <v>4</v>
      </c>
      <c r="F4" s="1" t="s">
        <v>5</v>
      </c>
    </row>
    <row r="5">
      <c r="A5" s="1"/>
      <c r="B5" s="1" t="s">
        <v>6</v>
      </c>
      <c r="C5" s="1">
        <v>1.0</v>
      </c>
      <c r="D5" s="2" t="s">
        <v>6</v>
      </c>
      <c r="E5" s="2" t="s">
        <v>7</v>
      </c>
      <c r="F5" s="2">
        <v>39.0</v>
      </c>
      <c r="I5" s="1" t="s">
        <v>6</v>
      </c>
    </row>
    <row r="6">
      <c r="A6" s="1"/>
      <c r="B6" s="1" t="s">
        <v>8</v>
      </c>
      <c r="C6" s="1">
        <v>2.0</v>
      </c>
      <c r="D6" s="2" t="s">
        <v>9</v>
      </c>
      <c r="E6" s="2" t="s">
        <v>10</v>
      </c>
      <c r="F6" s="2">
        <v>35.0</v>
      </c>
      <c r="I6" s="1" t="s">
        <v>8</v>
      </c>
    </row>
    <row r="7">
      <c r="A7" s="1"/>
      <c r="B7" s="1" t="s">
        <v>9</v>
      </c>
      <c r="C7" s="1">
        <v>3.0</v>
      </c>
      <c r="D7" s="2" t="s">
        <v>11</v>
      </c>
      <c r="E7" s="2" t="s">
        <v>12</v>
      </c>
      <c r="F7" s="2">
        <v>23.0</v>
      </c>
      <c r="I7" s="1" t="s">
        <v>9</v>
      </c>
    </row>
    <row r="8">
      <c r="A8" s="1"/>
      <c r="B8" s="1" t="s">
        <v>13</v>
      </c>
      <c r="C8" s="1">
        <v>4.0</v>
      </c>
      <c r="D8" s="2" t="s">
        <v>14</v>
      </c>
      <c r="E8" s="2" t="s">
        <v>15</v>
      </c>
      <c r="F8" s="2">
        <v>12.0</v>
      </c>
      <c r="I8" s="1" t="s">
        <v>13</v>
      </c>
    </row>
    <row r="9">
      <c r="A9" s="1"/>
      <c r="B9" s="1" t="s">
        <v>16</v>
      </c>
      <c r="C9" s="1">
        <v>5.0</v>
      </c>
      <c r="D9" s="2" t="s">
        <v>16</v>
      </c>
      <c r="E9" s="2" t="s">
        <v>17</v>
      </c>
      <c r="F9" s="2">
        <v>35.0</v>
      </c>
      <c r="I9" s="1" t="s">
        <v>16</v>
      </c>
    </row>
    <row r="10">
      <c r="A10" s="1"/>
      <c r="B10" s="1" t="s">
        <v>18</v>
      </c>
      <c r="C10" s="1">
        <v>6.0</v>
      </c>
      <c r="D10" s="2" t="s">
        <v>19</v>
      </c>
      <c r="E10" s="2" t="s">
        <v>20</v>
      </c>
      <c r="F10" s="2">
        <v>21.0</v>
      </c>
      <c r="I10" s="1" t="s">
        <v>18</v>
      </c>
    </row>
    <row r="11">
      <c r="A11" s="1"/>
      <c r="B11" s="1" t="s">
        <v>21</v>
      </c>
      <c r="C11" s="1">
        <v>7.0</v>
      </c>
      <c r="D11" s="2" t="s">
        <v>22</v>
      </c>
      <c r="E11" s="2" t="s">
        <v>23</v>
      </c>
      <c r="F11" s="2">
        <v>27.0</v>
      </c>
      <c r="I11" s="1" t="s">
        <v>21</v>
      </c>
    </row>
    <row r="12">
      <c r="A12" s="1"/>
      <c r="B12" s="1" t="s">
        <v>24</v>
      </c>
      <c r="C12" s="1">
        <v>8.0</v>
      </c>
      <c r="D12" s="2" t="s">
        <v>11</v>
      </c>
      <c r="E12" s="2" t="s">
        <v>25</v>
      </c>
      <c r="F12" s="2">
        <v>16.0</v>
      </c>
      <c r="I12" s="1" t="s">
        <v>24</v>
      </c>
    </row>
    <row r="13">
      <c r="A13" s="1"/>
      <c r="B13" s="1" t="s">
        <v>26</v>
      </c>
      <c r="C13" s="1">
        <v>9.0</v>
      </c>
      <c r="D13" s="2" t="s">
        <v>9</v>
      </c>
      <c r="E13" s="2" t="s">
        <v>27</v>
      </c>
      <c r="F13" s="2">
        <v>33.0</v>
      </c>
      <c r="I13" s="1" t="s">
        <v>26</v>
      </c>
    </row>
    <row r="14">
      <c r="A14" s="1"/>
      <c r="B14" s="1" t="s">
        <v>28</v>
      </c>
      <c r="C14" s="1">
        <v>10.0</v>
      </c>
      <c r="D14" s="2" t="s">
        <v>29</v>
      </c>
      <c r="E14" s="2" t="s">
        <v>30</v>
      </c>
      <c r="F14" s="2">
        <v>13.0</v>
      </c>
      <c r="I14" s="1" t="s">
        <v>28</v>
      </c>
    </row>
    <row r="15">
      <c r="A15" s="1"/>
      <c r="B15" s="1" t="s">
        <v>6</v>
      </c>
      <c r="C15" s="1">
        <v>11.0</v>
      </c>
      <c r="D15" s="2" t="s">
        <v>29</v>
      </c>
      <c r="E15" s="2" t="s">
        <v>31</v>
      </c>
      <c r="F15" s="2">
        <v>29.0</v>
      </c>
      <c r="I15" s="1" t="s">
        <v>6</v>
      </c>
    </row>
    <row r="16">
      <c r="A16" s="1"/>
      <c r="B16" s="1" t="s">
        <v>8</v>
      </c>
      <c r="C16" s="1">
        <v>12.0</v>
      </c>
      <c r="D16" s="2" t="s">
        <v>8</v>
      </c>
      <c r="E16" s="2" t="s">
        <v>32</v>
      </c>
      <c r="F16" s="2">
        <v>16.0</v>
      </c>
      <c r="I16" s="1" t="s">
        <v>8</v>
      </c>
    </row>
    <row r="17">
      <c r="A17" s="1"/>
      <c r="B17" s="1" t="s">
        <v>9</v>
      </c>
      <c r="C17" s="1">
        <v>13.0</v>
      </c>
      <c r="D17" s="2" t="s">
        <v>19</v>
      </c>
      <c r="E17" s="2" t="s">
        <v>33</v>
      </c>
      <c r="F17" s="2">
        <v>20.0</v>
      </c>
      <c r="I17" s="1" t="s">
        <v>9</v>
      </c>
    </row>
    <row r="18">
      <c r="A18" s="1"/>
      <c r="B18" s="1" t="s">
        <v>13</v>
      </c>
      <c r="C18" s="1">
        <v>14.0</v>
      </c>
      <c r="D18" s="2" t="s">
        <v>9</v>
      </c>
      <c r="E18" s="2" t="s">
        <v>34</v>
      </c>
      <c r="F18" s="2">
        <v>17.0</v>
      </c>
      <c r="I18" s="1" t="s">
        <v>13</v>
      </c>
    </row>
    <row r="19">
      <c r="A19" s="1"/>
      <c r="B19" s="1" t="s">
        <v>16</v>
      </c>
      <c r="C19" s="1">
        <v>15.0</v>
      </c>
      <c r="D19" s="2" t="s">
        <v>16</v>
      </c>
      <c r="E19" s="2" t="s">
        <v>35</v>
      </c>
      <c r="F19" s="2">
        <v>14.0</v>
      </c>
      <c r="I19" s="1" t="s">
        <v>16</v>
      </c>
    </row>
    <row r="20">
      <c r="A20" s="1"/>
      <c r="B20" s="1" t="s">
        <v>18</v>
      </c>
      <c r="C20" s="1">
        <v>16.0</v>
      </c>
      <c r="D20" s="2" t="s">
        <v>14</v>
      </c>
      <c r="E20" s="2" t="s">
        <v>36</v>
      </c>
      <c r="F20" s="2">
        <v>15.0</v>
      </c>
      <c r="I20" s="1" t="s">
        <v>18</v>
      </c>
    </row>
    <row r="21">
      <c r="A21" s="1"/>
      <c r="B21" s="1" t="s">
        <v>21</v>
      </c>
      <c r="C21" s="1">
        <v>17.0</v>
      </c>
      <c r="D21" s="2" t="s">
        <v>14</v>
      </c>
      <c r="E21" s="2" t="s">
        <v>37</v>
      </c>
      <c r="F21" s="2">
        <v>12.0</v>
      </c>
      <c r="I21" s="1" t="s">
        <v>21</v>
      </c>
    </row>
    <row r="22">
      <c r="A22" s="1"/>
      <c r="B22" s="1" t="s">
        <v>24</v>
      </c>
      <c r="C22" s="1">
        <v>18.0</v>
      </c>
      <c r="D22" s="2" t="s">
        <v>16</v>
      </c>
      <c r="E22" s="2" t="s">
        <v>38</v>
      </c>
      <c r="F22" s="2">
        <v>19.0</v>
      </c>
      <c r="I22" s="1" t="s">
        <v>24</v>
      </c>
    </row>
    <row r="23">
      <c r="A23" s="1"/>
      <c r="B23" s="1" t="s">
        <v>26</v>
      </c>
      <c r="C23" s="1">
        <v>19.0</v>
      </c>
      <c r="D23" s="2" t="s">
        <v>9</v>
      </c>
      <c r="E23" s="2" t="s">
        <v>39</v>
      </c>
      <c r="F23" s="2">
        <v>12.0</v>
      </c>
      <c r="I23" s="1" t="s">
        <v>26</v>
      </c>
    </row>
    <row r="24">
      <c r="A24" s="1"/>
      <c r="B24" s="1" t="s">
        <v>28</v>
      </c>
      <c r="C24" s="1">
        <v>20.0</v>
      </c>
      <c r="D24" s="2" t="s">
        <v>16</v>
      </c>
      <c r="E24" s="2" t="s">
        <v>40</v>
      </c>
      <c r="F24" s="2">
        <v>6.0</v>
      </c>
      <c r="I24" s="1" t="s">
        <v>28</v>
      </c>
    </row>
    <row r="25">
      <c r="A25" s="1"/>
      <c r="B25" s="1" t="s">
        <v>6</v>
      </c>
      <c r="C25" s="1">
        <v>21.0</v>
      </c>
      <c r="D25" s="2" t="s">
        <v>6</v>
      </c>
      <c r="E25" s="2" t="s">
        <v>41</v>
      </c>
      <c r="F25" s="2">
        <v>13.0</v>
      </c>
    </row>
    <row r="26">
      <c r="A26" s="1"/>
      <c r="B26" s="1" t="s">
        <v>8</v>
      </c>
      <c r="C26" s="1">
        <v>22.0</v>
      </c>
      <c r="D26" s="2" t="s">
        <v>8</v>
      </c>
      <c r="E26" s="2" t="s">
        <v>42</v>
      </c>
      <c r="F26" s="2">
        <v>11.0</v>
      </c>
    </row>
    <row r="27">
      <c r="A27" s="1"/>
      <c r="B27" s="1" t="s">
        <v>9</v>
      </c>
      <c r="C27" s="1">
        <v>23.0</v>
      </c>
      <c r="D27" s="2" t="s">
        <v>13</v>
      </c>
      <c r="E27" s="2" t="s">
        <v>43</v>
      </c>
      <c r="F27" s="2">
        <v>12.0</v>
      </c>
    </row>
    <row r="28">
      <c r="A28" s="1"/>
      <c r="B28" s="1" t="s">
        <v>13</v>
      </c>
      <c r="C28" s="1">
        <v>24.0</v>
      </c>
      <c r="D28" s="2" t="s">
        <v>13</v>
      </c>
      <c r="E28" s="2" t="s">
        <v>44</v>
      </c>
      <c r="F28" s="2">
        <v>11.0</v>
      </c>
    </row>
    <row r="29">
      <c r="A29" s="1"/>
      <c r="B29" s="1" t="s">
        <v>16</v>
      </c>
      <c r="C29" s="1">
        <v>25.0</v>
      </c>
      <c r="D29" s="2" t="s">
        <v>14</v>
      </c>
      <c r="E29" s="2" t="s">
        <v>45</v>
      </c>
      <c r="F29" s="2">
        <v>11.0</v>
      </c>
    </row>
    <row r="30">
      <c r="A30" s="1"/>
      <c r="B30" s="1" t="s">
        <v>18</v>
      </c>
      <c r="C30" s="1">
        <v>26.0</v>
      </c>
      <c r="D30" s="2" t="s">
        <v>19</v>
      </c>
      <c r="E30" s="2" t="s">
        <v>46</v>
      </c>
      <c r="F30" s="2">
        <v>5.0</v>
      </c>
    </row>
    <row r="31">
      <c r="A31" s="1"/>
      <c r="B31" s="1" t="s">
        <v>21</v>
      </c>
      <c r="C31" s="1">
        <v>27.0</v>
      </c>
      <c r="D31" s="2" t="s">
        <v>14</v>
      </c>
      <c r="E31" s="2" t="s">
        <v>47</v>
      </c>
      <c r="F31" s="2">
        <v>4.0</v>
      </c>
    </row>
    <row r="32">
      <c r="A32" s="1"/>
      <c r="B32" s="1" t="s">
        <v>24</v>
      </c>
      <c r="C32" s="1">
        <v>28.0</v>
      </c>
      <c r="D32" s="2" t="s">
        <v>9</v>
      </c>
      <c r="E32" s="2" t="s">
        <v>48</v>
      </c>
      <c r="F32" s="2">
        <v>11.0</v>
      </c>
    </row>
    <row r="33">
      <c r="A33" s="1"/>
      <c r="B33" s="1" t="s">
        <v>26</v>
      </c>
      <c r="C33" s="1">
        <v>29.0</v>
      </c>
      <c r="D33" s="2" t="s">
        <v>29</v>
      </c>
      <c r="E33" s="2" t="s">
        <v>49</v>
      </c>
      <c r="F33" s="2">
        <v>7.0</v>
      </c>
    </row>
    <row r="34">
      <c r="A34" s="1"/>
      <c r="B34" s="1" t="s">
        <v>28</v>
      </c>
      <c r="C34" s="1">
        <v>30.0</v>
      </c>
      <c r="D34" s="2" t="s">
        <v>16</v>
      </c>
      <c r="E34" s="2" t="s">
        <v>50</v>
      </c>
      <c r="F34" s="2">
        <v>10.0</v>
      </c>
    </row>
    <row r="35">
      <c r="A35" s="1"/>
      <c r="D35" s="3"/>
      <c r="E35" s="3"/>
      <c r="F35" s="3"/>
    </row>
    <row r="36">
      <c r="A36" s="1"/>
      <c r="D36" s="3"/>
      <c r="E36" s="3"/>
      <c r="F36" s="3"/>
    </row>
    <row r="37">
      <c r="A37" s="1"/>
      <c r="D37" s="3"/>
      <c r="E37" s="3"/>
      <c r="F37" s="3"/>
    </row>
    <row r="38">
      <c r="A38" s="1"/>
      <c r="D38" s="3"/>
      <c r="E38" s="3"/>
      <c r="F38" s="3"/>
    </row>
    <row r="39">
      <c r="A39" s="1"/>
      <c r="D39" s="3"/>
      <c r="E39" s="3"/>
      <c r="F39" s="3"/>
    </row>
    <row r="40">
      <c r="A40" s="1"/>
      <c r="D40" s="3"/>
      <c r="E40" s="3"/>
      <c r="F40" s="3"/>
    </row>
    <row r="41">
      <c r="A41" s="1"/>
      <c r="D41" s="3"/>
      <c r="E41" s="3"/>
      <c r="F41" s="3"/>
    </row>
    <row r="42">
      <c r="A42" s="1"/>
      <c r="D42" s="3"/>
      <c r="E42" s="3"/>
      <c r="F42" s="3"/>
    </row>
    <row r="43">
      <c r="A43" s="1"/>
      <c r="D43" s="3"/>
      <c r="E43" s="3"/>
      <c r="F43" s="3"/>
    </row>
    <row r="44">
      <c r="A44" s="1"/>
      <c r="D44" s="3"/>
      <c r="E44" s="3"/>
      <c r="F4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5.13"/>
    <col customWidth="1" min="4" max="4" width="3.75"/>
    <col customWidth="1" min="6" max="6" width="3.75"/>
    <col customWidth="1" min="8" max="8" width="3.75"/>
    <col customWidth="1" min="10" max="10" width="3.75"/>
    <col customWidth="1" min="12" max="12" width="3.75"/>
    <col customWidth="1" min="13" max="13" width="5.13"/>
  </cols>
  <sheetData>
    <row r="1">
      <c r="P1" s="4" t="s">
        <v>51</v>
      </c>
    </row>
    <row r="2">
      <c r="A2" s="5"/>
      <c r="B2" s="6"/>
      <c r="C2" s="7" t="s">
        <v>52</v>
      </c>
      <c r="D2" s="7"/>
      <c r="E2" s="7" t="s">
        <v>53</v>
      </c>
      <c r="F2" s="7"/>
      <c r="G2" s="7" t="s">
        <v>54</v>
      </c>
      <c r="H2" s="7"/>
      <c r="I2" s="7" t="s">
        <v>55</v>
      </c>
      <c r="J2" s="7"/>
      <c r="K2" s="7" t="s">
        <v>28</v>
      </c>
      <c r="L2" s="7"/>
      <c r="M2" s="6"/>
      <c r="O2" s="8" t="s">
        <v>56</v>
      </c>
      <c r="P2" s="7"/>
      <c r="Q2" s="8" t="s">
        <v>57</v>
      </c>
      <c r="R2" s="7"/>
      <c r="T2" s="9" t="s">
        <v>58</v>
      </c>
      <c r="U2" s="10"/>
      <c r="V2" s="9" t="s">
        <v>59</v>
      </c>
    </row>
    <row r="3">
      <c r="A3" s="11"/>
      <c r="B3" s="12" t="s">
        <v>60</v>
      </c>
      <c r="C3" s="13" t="s">
        <v>4</v>
      </c>
      <c r="D3" s="14" t="s">
        <v>61</v>
      </c>
      <c r="E3" s="13" t="s">
        <v>4</v>
      </c>
      <c r="F3" s="15" t="s">
        <v>61</v>
      </c>
      <c r="G3" s="13" t="s">
        <v>4</v>
      </c>
      <c r="H3" s="15" t="s">
        <v>61</v>
      </c>
      <c r="I3" s="13" t="s">
        <v>4</v>
      </c>
      <c r="J3" s="15" t="s">
        <v>61</v>
      </c>
      <c r="K3" s="13" t="s">
        <v>4</v>
      </c>
      <c r="L3" s="15" t="s">
        <v>61</v>
      </c>
      <c r="M3" s="16" t="s">
        <v>60</v>
      </c>
      <c r="O3" s="17"/>
      <c r="P3" s="15"/>
      <c r="Q3" s="13"/>
      <c r="R3" s="15"/>
      <c r="T3" s="18"/>
      <c r="U3" s="19"/>
      <c r="V3" s="20"/>
      <c r="W3" s="19"/>
    </row>
    <row r="4">
      <c r="A4" s="21"/>
      <c r="B4" s="22" t="s">
        <v>62</v>
      </c>
      <c r="C4" s="23" t="s">
        <v>63</v>
      </c>
      <c r="D4" s="24">
        <v>17.0</v>
      </c>
      <c r="E4" s="23" t="s">
        <v>64</v>
      </c>
      <c r="F4" s="25">
        <v>18.0</v>
      </c>
      <c r="G4" s="1" t="s">
        <v>65</v>
      </c>
      <c r="H4" s="24">
        <v>8.0</v>
      </c>
      <c r="I4" s="23" t="s">
        <v>66</v>
      </c>
      <c r="J4" s="25">
        <v>1.0</v>
      </c>
      <c r="K4" s="23" t="s">
        <v>67</v>
      </c>
      <c r="L4" s="25">
        <v>10.0</v>
      </c>
      <c r="M4" s="26" t="s">
        <v>62</v>
      </c>
      <c r="O4" s="23" t="s">
        <v>63</v>
      </c>
      <c r="P4" s="24">
        <v>17.0</v>
      </c>
      <c r="Q4" s="1" t="s">
        <v>68</v>
      </c>
      <c r="R4" s="24">
        <v>10.0</v>
      </c>
      <c r="T4" s="23" t="s">
        <v>69</v>
      </c>
      <c r="U4" s="25">
        <v>12.0</v>
      </c>
      <c r="V4" s="23" t="s">
        <v>69</v>
      </c>
      <c r="W4" s="25">
        <v>12.0</v>
      </c>
    </row>
    <row r="5">
      <c r="A5" s="21"/>
      <c r="B5" s="22" t="s">
        <v>62</v>
      </c>
      <c r="D5" s="25"/>
      <c r="F5" s="25"/>
      <c r="G5" s="1" t="s">
        <v>70</v>
      </c>
      <c r="H5" s="25">
        <v>11.0</v>
      </c>
      <c r="I5" s="1" t="s">
        <v>71</v>
      </c>
      <c r="J5" s="24">
        <v>11.0</v>
      </c>
      <c r="K5" s="23" t="s">
        <v>72</v>
      </c>
      <c r="L5" s="25">
        <v>3.0</v>
      </c>
      <c r="M5" s="26" t="s">
        <v>62</v>
      </c>
      <c r="P5" s="25"/>
      <c r="R5" s="25"/>
      <c r="T5" s="1" t="s">
        <v>68</v>
      </c>
      <c r="U5" s="24">
        <v>10.0</v>
      </c>
      <c r="V5" s="1" t="s">
        <v>63</v>
      </c>
      <c r="W5" s="24">
        <v>17.0</v>
      </c>
    </row>
    <row r="6">
      <c r="A6" s="21"/>
      <c r="B6" s="27" t="s">
        <v>62</v>
      </c>
      <c r="C6" s="28"/>
      <c r="D6" s="29"/>
      <c r="E6" s="28"/>
      <c r="F6" s="29"/>
      <c r="G6" s="30"/>
      <c r="H6" s="31"/>
      <c r="I6" s="30" t="s">
        <v>73</v>
      </c>
      <c r="J6" s="29"/>
      <c r="K6" s="28"/>
      <c r="L6" s="29"/>
      <c r="M6" s="32" t="s">
        <v>62</v>
      </c>
      <c r="O6" s="28"/>
      <c r="P6" s="29"/>
      <c r="Q6" s="28"/>
      <c r="R6" s="29"/>
      <c r="T6" s="28"/>
      <c r="U6" s="29"/>
      <c r="V6" s="28"/>
      <c r="W6" s="29"/>
    </row>
    <row r="7">
      <c r="A7" s="21"/>
      <c r="B7" s="22" t="s">
        <v>74</v>
      </c>
      <c r="C7" s="23" t="s">
        <v>75</v>
      </c>
      <c r="D7" s="24">
        <v>27.0</v>
      </c>
      <c r="E7" s="23" t="s">
        <v>76</v>
      </c>
      <c r="F7" s="25">
        <v>32.0</v>
      </c>
      <c r="G7" s="23" t="s">
        <v>77</v>
      </c>
      <c r="H7" s="24">
        <v>11.0</v>
      </c>
      <c r="I7" s="23" t="s">
        <v>78</v>
      </c>
      <c r="J7" s="25">
        <v>11.0</v>
      </c>
      <c r="K7" s="23" t="s">
        <v>79</v>
      </c>
      <c r="L7" s="25">
        <v>14.0</v>
      </c>
      <c r="M7" s="26" t="s">
        <v>74</v>
      </c>
      <c r="O7" s="23" t="s">
        <v>75</v>
      </c>
      <c r="P7" s="24">
        <v>27.0</v>
      </c>
      <c r="Q7" s="23" t="s">
        <v>75</v>
      </c>
      <c r="R7" s="24">
        <v>27.0</v>
      </c>
      <c r="T7" s="23" t="s">
        <v>80</v>
      </c>
      <c r="U7" s="25">
        <v>42.0</v>
      </c>
      <c r="V7" s="23" t="s">
        <v>80</v>
      </c>
      <c r="W7" s="25">
        <v>42.0</v>
      </c>
    </row>
    <row r="8">
      <c r="A8" s="21"/>
      <c r="B8" s="22" t="s">
        <v>74</v>
      </c>
      <c r="C8" s="23" t="s">
        <v>81</v>
      </c>
      <c r="D8" s="25">
        <v>9.0</v>
      </c>
      <c r="E8" s="23" t="s">
        <v>82</v>
      </c>
      <c r="F8" s="24">
        <v>16.0</v>
      </c>
      <c r="G8" s="33" t="s">
        <v>83</v>
      </c>
      <c r="H8" s="34">
        <v>10.0</v>
      </c>
      <c r="I8" s="23" t="s">
        <v>84</v>
      </c>
      <c r="J8" s="25">
        <v>8.0</v>
      </c>
      <c r="K8" s="23" t="s">
        <v>85</v>
      </c>
      <c r="L8" s="24">
        <v>15.0</v>
      </c>
      <c r="M8" s="26" t="s">
        <v>74</v>
      </c>
      <c r="O8" s="23" t="s">
        <v>81</v>
      </c>
      <c r="P8" s="25">
        <v>9.0</v>
      </c>
      <c r="Q8" s="23" t="s">
        <v>81</v>
      </c>
      <c r="R8" s="25">
        <v>9.0</v>
      </c>
      <c r="T8" s="23" t="s">
        <v>86</v>
      </c>
      <c r="U8" s="25">
        <v>7.0</v>
      </c>
      <c r="V8" s="23" t="s">
        <v>86</v>
      </c>
      <c r="W8" s="25">
        <v>7.0</v>
      </c>
    </row>
    <row r="9">
      <c r="A9" s="21"/>
      <c r="B9" s="22" t="s">
        <v>74</v>
      </c>
      <c r="C9" s="23" t="s">
        <v>87</v>
      </c>
      <c r="D9" s="25">
        <v>10.0</v>
      </c>
      <c r="E9" s="23" t="s">
        <v>88</v>
      </c>
      <c r="F9" s="25">
        <v>10.0</v>
      </c>
      <c r="G9" s="1" t="s">
        <v>89</v>
      </c>
      <c r="H9" s="24">
        <v>7.0</v>
      </c>
      <c r="I9" s="23" t="s">
        <v>90</v>
      </c>
      <c r="J9" s="35">
        <v>1.0</v>
      </c>
      <c r="K9" s="1" t="s">
        <v>91</v>
      </c>
      <c r="L9" s="24">
        <v>13.0</v>
      </c>
      <c r="M9" s="26" t="s">
        <v>74</v>
      </c>
      <c r="O9" s="23" t="s">
        <v>87</v>
      </c>
      <c r="P9" s="25">
        <v>10.0</v>
      </c>
      <c r="Q9" s="23" t="s">
        <v>87</v>
      </c>
      <c r="R9" s="25">
        <v>10.0</v>
      </c>
      <c r="T9" s="23" t="s">
        <v>92</v>
      </c>
      <c r="U9" s="25">
        <v>4.0</v>
      </c>
      <c r="V9" s="23" t="s">
        <v>92</v>
      </c>
      <c r="W9" s="25">
        <v>4.0</v>
      </c>
    </row>
    <row r="10">
      <c r="A10" s="21"/>
      <c r="B10" s="22" t="s">
        <v>74</v>
      </c>
      <c r="C10" s="23" t="s">
        <v>93</v>
      </c>
      <c r="D10" s="24">
        <v>8.0</v>
      </c>
      <c r="E10" s="23" t="s">
        <v>94</v>
      </c>
      <c r="F10" s="25">
        <v>5.0</v>
      </c>
      <c r="G10" s="23" t="s">
        <v>95</v>
      </c>
      <c r="H10" s="25">
        <v>2.0</v>
      </c>
      <c r="I10" s="1" t="s">
        <v>96</v>
      </c>
      <c r="J10" s="24">
        <v>15.0</v>
      </c>
      <c r="K10" s="1" t="s">
        <v>97</v>
      </c>
      <c r="L10" s="24"/>
      <c r="M10" s="26" t="s">
        <v>74</v>
      </c>
      <c r="O10" s="23" t="s">
        <v>93</v>
      </c>
      <c r="P10" s="24">
        <v>8.0</v>
      </c>
      <c r="Q10" s="23" t="s">
        <v>93</v>
      </c>
      <c r="R10" s="24">
        <v>8.0</v>
      </c>
      <c r="T10" s="1" t="s">
        <v>98</v>
      </c>
      <c r="U10" s="24">
        <v>8.0</v>
      </c>
      <c r="V10" s="1" t="s">
        <v>98</v>
      </c>
      <c r="W10" s="24">
        <v>8.0</v>
      </c>
    </row>
    <row r="11">
      <c r="A11" s="21"/>
      <c r="B11" s="22" t="s">
        <v>74</v>
      </c>
      <c r="C11" s="1" t="s">
        <v>99</v>
      </c>
      <c r="D11" s="24">
        <v>2.0</v>
      </c>
      <c r="E11" s="23" t="s">
        <v>100</v>
      </c>
      <c r="F11" s="25">
        <v>5.0</v>
      </c>
      <c r="G11" s="1" t="s">
        <v>101</v>
      </c>
      <c r="H11" s="24">
        <v>35.0</v>
      </c>
      <c r="I11" s="1" t="s">
        <v>102</v>
      </c>
      <c r="J11" s="25"/>
      <c r="L11" s="25"/>
      <c r="M11" s="26" t="s">
        <v>74</v>
      </c>
      <c r="O11" s="1" t="s">
        <v>99</v>
      </c>
      <c r="P11" s="24">
        <v>2.0</v>
      </c>
      <c r="Q11" s="1" t="s">
        <v>99</v>
      </c>
      <c r="R11" s="24">
        <v>2.0</v>
      </c>
      <c r="U11" s="25"/>
      <c r="W11" s="25"/>
    </row>
    <row r="12">
      <c r="A12" s="21"/>
      <c r="B12" s="27" t="s">
        <v>74</v>
      </c>
      <c r="C12" s="28"/>
      <c r="D12" s="29"/>
      <c r="E12" s="30" t="s">
        <v>103</v>
      </c>
      <c r="F12" s="31">
        <v>2.0</v>
      </c>
      <c r="G12" s="36" t="s">
        <v>104</v>
      </c>
      <c r="H12" s="37">
        <v>19.0</v>
      </c>
      <c r="I12" s="28"/>
      <c r="J12" s="29"/>
      <c r="K12" s="28"/>
      <c r="L12" s="29"/>
      <c r="M12" s="32" t="s">
        <v>74</v>
      </c>
      <c r="O12" s="28"/>
      <c r="P12" s="29"/>
      <c r="Q12" s="28"/>
      <c r="R12" s="29"/>
      <c r="T12" s="28"/>
      <c r="U12" s="29"/>
      <c r="V12" s="28"/>
      <c r="W12" s="29"/>
    </row>
    <row r="13">
      <c r="A13" s="21"/>
      <c r="B13" s="22" t="s">
        <v>105</v>
      </c>
      <c r="C13" s="1" t="s">
        <v>106</v>
      </c>
      <c r="D13" s="24">
        <v>39.0</v>
      </c>
      <c r="E13" s="23" t="s">
        <v>107</v>
      </c>
      <c r="F13" s="25">
        <v>34.0</v>
      </c>
      <c r="G13" s="23" t="s">
        <v>108</v>
      </c>
      <c r="H13" s="25">
        <v>19.0</v>
      </c>
      <c r="I13" s="23" t="s">
        <v>109</v>
      </c>
      <c r="J13" s="25">
        <v>25.0</v>
      </c>
      <c r="K13" s="23" t="s">
        <v>110</v>
      </c>
      <c r="L13" s="25">
        <v>14.0</v>
      </c>
      <c r="M13" s="26" t="s">
        <v>105</v>
      </c>
      <c r="O13" s="1" t="s">
        <v>106</v>
      </c>
      <c r="P13" s="24">
        <v>39.0</v>
      </c>
      <c r="Q13" s="1" t="s">
        <v>106</v>
      </c>
      <c r="R13" s="24">
        <v>39.0</v>
      </c>
      <c r="T13" s="23" t="s">
        <v>111</v>
      </c>
      <c r="U13" s="25">
        <v>36.0</v>
      </c>
      <c r="V13" s="23" t="s">
        <v>111</v>
      </c>
      <c r="W13" s="25">
        <v>36.0</v>
      </c>
    </row>
    <row r="14">
      <c r="A14" s="21"/>
      <c r="B14" s="22" t="s">
        <v>105</v>
      </c>
      <c r="C14" s="23" t="s">
        <v>112</v>
      </c>
      <c r="D14" s="25">
        <v>18.0</v>
      </c>
      <c r="E14" s="23" t="s">
        <v>113</v>
      </c>
      <c r="F14" s="24">
        <v>19.0</v>
      </c>
      <c r="G14" s="23" t="s">
        <v>114</v>
      </c>
      <c r="H14" s="24">
        <v>12.0</v>
      </c>
      <c r="I14" s="23" t="s">
        <v>115</v>
      </c>
      <c r="J14" s="25">
        <v>18.0</v>
      </c>
      <c r="K14" s="23" t="s">
        <v>116</v>
      </c>
      <c r="L14" s="25">
        <v>14.0</v>
      </c>
      <c r="M14" s="26" t="s">
        <v>105</v>
      </c>
      <c r="O14" s="23" t="s">
        <v>112</v>
      </c>
      <c r="P14" s="25">
        <v>18.0</v>
      </c>
      <c r="Q14" s="23" t="s">
        <v>112</v>
      </c>
      <c r="R14" s="25">
        <v>18.0</v>
      </c>
      <c r="T14" s="23" t="s">
        <v>117</v>
      </c>
      <c r="U14" s="25">
        <v>13.0</v>
      </c>
      <c r="V14" s="23" t="s">
        <v>117</v>
      </c>
      <c r="W14" s="25">
        <v>13.0</v>
      </c>
    </row>
    <row r="15">
      <c r="A15" s="21"/>
      <c r="B15" s="22" t="s">
        <v>105</v>
      </c>
      <c r="C15" s="23" t="s">
        <v>118</v>
      </c>
      <c r="D15" s="25">
        <v>15.0</v>
      </c>
      <c r="E15" s="23" t="s">
        <v>119</v>
      </c>
      <c r="F15" s="24">
        <v>10.0</v>
      </c>
      <c r="G15" s="1" t="s">
        <v>120</v>
      </c>
      <c r="H15" s="24">
        <v>3.0</v>
      </c>
      <c r="I15" s="23" t="s">
        <v>121</v>
      </c>
      <c r="J15" s="24">
        <v>15.0</v>
      </c>
      <c r="K15" s="23" t="s">
        <v>122</v>
      </c>
      <c r="L15" s="25">
        <v>5.0</v>
      </c>
      <c r="M15" s="26" t="s">
        <v>105</v>
      </c>
      <c r="O15" s="23" t="s">
        <v>118</v>
      </c>
      <c r="P15" s="25">
        <v>15.0</v>
      </c>
      <c r="Q15" s="23" t="s">
        <v>118</v>
      </c>
      <c r="R15" s="25">
        <v>15.0</v>
      </c>
      <c r="T15" s="23" t="s">
        <v>123</v>
      </c>
      <c r="U15" s="24">
        <v>16.0</v>
      </c>
      <c r="V15" s="23" t="s">
        <v>123</v>
      </c>
      <c r="W15" s="24">
        <v>16.0</v>
      </c>
    </row>
    <row r="16">
      <c r="A16" s="21"/>
      <c r="B16" s="22" t="s">
        <v>105</v>
      </c>
      <c r="C16" s="23" t="s">
        <v>124</v>
      </c>
      <c r="D16" s="25">
        <v>3.0</v>
      </c>
      <c r="F16" s="25"/>
      <c r="G16" s="23" t="s">
        <v>125</v>
      </c>
      <c r="H16" s="25">
        <v>2.0</v>
      </c>
      <c r="I16" s="23" t="s">
        <v>126</v>
      </c>
      <c r="J16" s="25">
        <v>10.0</v>
      </c>
      <c r="K16" s="1" t="s">
        <v>127</v>
      </c>
      <c r="L16" s="24">
        <v>29.0</v>
      </c>
      <c r="M16" s="26" t="s">
        <v>105</v>
      </c>
      <c r="O16" s="23" t="s">
        <v>124</v>
      </c>
      <c r="P16" s="25">
        <v>3.0</v>
      </c>
      <c r="Q16" s="23" t="s">
        <v>124</v>
      </c>
      <c r="R16" s="25">
        <v>3.0</v>
      </c>
      <c r="T16" s="1" t="s">
        <v>128</v>
      </c>
      <c r="U16" s="24">
        <v>2.0</v>
      </c>
      <c r="V16" s="1" t="s">
        <v>128</v>
      </c>
      <c r="W16" s="24">
        <v>2.0</v>
      </c>
    </row>
    <row r="17">
      <c r="A17" s="21"/>
      <c r="B17" s="22" t="s">
        <v>105</v>
      </c>
      <c r="C17" s="1" t="s">
        <v>129</v>
      </c>
      <c r="D17" s="24">
        <v>13.0</v>
      </c>
      <c r="F17" s="25"/>
      <c r="G17" s="1" t="s">
        <v>34</v>
      </c>
      <c r="H17" s="24">
        <v>17.0</v>
      </c>
      <c r="I17" s="1" t="s">
        <v>130</v>
      </c>
      <c r="J17" s="25"/>
      <c r="K17" s="1" t="s">
        <v>131</v>
      </c>
      <c r="L17" s="25"/>
      <c r="M17" s="26" t="s">
        <v>105</v>
      </c>
      <c r="O17" s="1" t="s">
        <v>129</v>
      </c>
      <c r="P17" s="24">
        <v>13.0</v>
      </c>
      <c r="Q17" s="1" t="s">
        <v>129</v>
      </c>
      <c r="R17" s="24">
        <v>13.0</v>
      </c>
      <c r="T17" s="1" t="s">
        <v>132</v>
      </c>
      <c r="U17" s="24">
        <v>27.0</v>
      </c>
      <c r="V17" s="1" t="s">
        <v>132</v>
      </c>
      <c r="W17" s="24">
        <v>27.0</v>
      </c>
    </row>
    <row r="18">
      <c r="A18" s="21"/>
      <c r="B18" s="22" t="s">
        <v>105</v>
      </c>
      <c r="C18" s="1" t="s">
        <v>133</v>
      </c>
      <c r="D18" s="24">
        <v>6.0</v>
      </c>
      <c r="F18" s="25"/>
      <c r="G18" s="1" t="s">
        <v>134</v>
      </c>
      <c r="H18" s="24">
        <v>12.0</v>
      </c>
      <c r="J18" s="25"/>
      <c r="L18" s="25"/>
      <c r="M18" s="26" t="s">
        <v>105</v>
      </c>
      <c r="O18" s="1" t="s">
        <v>133</v>
      </c>
      <c r="P18" s="24">
        <v>6.0</v>
      </c>
      <c r="Q18" s="1" t="s">
        <v>133</v>
      </c>
      <c r="R18" s="24">
        <v>6.0</v>
      </c>
      <c r="T18" s="28"/>
      <c r="U18" s="29"/>
      <c r="V18" s="28"/>
      <c r="W18" s="29"/>
    </row>
    <row r="19">
      <c r="A19" s="21"/>
      <c r="B19" s="38" t="s">
        <v>135</v>
      </c>
      <c r="C19" s="39" t="s">
        <v>136</v>
      </c>
      <c r="D19" s="40">
        <v>3.0</v>
      </c>
      <c r="E19" s="41" t="s">
        <v>137</v>
      </c>
      <c r="F19" s="42">
        <v>16.0</v>
      </c>
      <c r="G19" s="43" t="s">
        <v>138</v>
      </c>
      <c r="H19" s="44">
        <v>15.0</v>
      </c>
      <c r="I19" s="39" t="s">
        <v>139</v>
      </c>
      <c r="J19" s="40">
        <v>1.0</v>
      </c>
      <c r="K19" s="39" t="s">
        <v>140</v>
      </c>
      <c r="L19" s="42">
        <v>3.0</v>
      </c>
      <c r="M19" s="45" t="s">
        <v>135</v>
      </c>
      <c r="O19" s="39" t="s">
        <v>136</v>
      </c>
      <c r="P19" s="40">
        <v>3.0</v>
      </c>
      <c r="Q19" s="39" t="s">
        <v>136</v>
      </c>
      <c r="R19" s="40">
        <v>3.0</v>
      </c>
      <c r="T19" s="23" t="s">
        <v>141</v>
      </c>
      <c r="U19" s="25">
        <v>3.0</v>
      </c>
      <c r="V19" s="23" t="s">
        <v>141</v>
      </c>
      <c r="W19" s="25">
        <v>3.0</v>
      </c>
    </row>
    <row r="20">
      <c r="A20" s="21"/>
      <c r="B20" s="22" t="s">
        <v>135</v>
      </c>
      <c r="C20" s="1" t="s">
        <v>142</v>
      </c>
      <c r="D20" s="24">
        <v>1.0</v>
      </c>
      <c r="F20" s="25"/>
      <c r="H20" s="25"/>
      <c r="I20" s="1" t="s">
        <v>143</v>
      </c>
      <c r="J20" s="24">
        <v>12.0</v>
      </c>
      <c r="L20" s="25"/>
      <c r="M20" s="26" t="s">
        <v>135</v>
      </c>
      <c r="O20" s="1" t="s">
        <v>142</v>
      </c>
      <c r="P20" s="24">
        <v>1.0</v>
      </c>
      <c r="Q20" s="1" t="s">
        <v>142</v>
      </c>
      <c r="R20" s="24">
        <v>1.0</v>
      </c>
      <c r="T20" s="23" t="s">
        <v>144</v>
      </c>
      <c r="U20" s="25">
        <v>3.0</v>
      </c>
      <c r="V20" s="23" t="s">
        <v>144</v>
      </c>
      <c r="W20" s="25">
        <v>3.0</v>
      </c>
    </row>
    <row r="21">
      <c r="A21" s="21"/>
      <c r="B21" s="27" t="s">
        <v>135</v>
      </c>
      <c r="C21" s="30"/>
      <c r="D21" s="31"/>
      <c r="E21" s="28"/>
      <c r="F21" s="29"/>
      <c r="G21" s="28"/>
      <c r="H21" s="29"/>
      <c r="I21" s="28"/>
      <c r="J21" s="29"/>
      <c r="K21" s="28"/>
      <c r="L21" s="29"/>
      <c r="M21" s="32" t="s">
        <v>135</v>
      </c>
      <c r="O21" s="30"/>
      <c r="P21" s="31"/>
      <c r="Q21" s="30"/>
      <c r="R21" s="31"/>
      <c r="T21" s="30" t="s">
        <v>145</v>
      </c>
      <c r="U21" s="31">
        <v>8.0</v>
      </c>
      <c r="V21" s="30" t="s">
        <v>145</v>
      </c>
      <c r="W21" s="31">
        <v>8.0</v>
      </c>
    </row>
    <row r="22">
      <c r="A22" s="21"/>
      <c r="B22" s="22" t="s">
        <v>146</v>
      </c>
      <c r="C22" s="1" t="s">
        <v>147</v>
      </c>
      <c r="D22" s="24">
        <v>1.0</v>
      </c>
      <c r="E22" s="1" t="s">
        <v>148</v>
      </c>
      <c r="F22" s="24">
        <v>1.0</v>
      </c>
      <c r="G22" s="23" t="s">
        <v>149</v>
      </c>
      <c r="H22" s="25">
        <v>3.0</v>
      </c>
      <c r="I22" s="1" t="s">
        <v>150</v>
      </c>
      <c r="J22" s="25">
        <v>1.0</v>
      </c>
      <c r="K22" s="1" t="s">
        <v>151</v>
      </c>
      <c r="L22" s="25"/>
      <c r="M22" s="26" t="s">
        <v>146</v>
      </c>
      <c r="O22" s="1" t="s">
        <v>147</v>
      </c>
      <c r="P22" s="24">
        <v>1.0</v>
      </c>
      <c r="Q22" s="1" t="s">
        <v>147</v>
      </c>
      <c r="R22" s="24">
        <v>1.0</v>
      </c>
      <c r="T22" s="23" t="s">
        <v>152</v>
      </c>
      <c r="U22" s="25">
        <v>1.0</v>
      </c>
      <c r="V22" s="23" t="s">
        <v>152</v>
      </c>
      <c r="W22" s="25">
        <v>1.0</v>
      </c>
    </row>
    <row r="23">
      <c r="A23" s="21"/>
      <c r="B23" s="27" t="s">
        <v>146</v>
      </c>
      <c r="C23" s="28"/>
      <c r="D23" s="29"/>
      <c r="E23" s="28"/>
      <c r="F23" s="29"/>
      <c r="G23" s="28"/>
      <c r="H23" s="29"/>
      <c r="I23" s="28"/>
      <c r="J23" s="29"/>
      <c r="K23" s="28"/>
      <c r="L23" s="29"/>
      <c r="M23" s="32" t="s">
        <v>146</v>
      </c>
      <c r="O23" s="28"/>
      <c r="P23" s="29"/>
      <c r="Q23" s="28"/>
      <c r="R23" s="29"/>
      <c r="T23" s="28"/>
      <c r="U23" s="29"/>
      <c r="V23" s="28"/>
      <c r="W23" s="29"/>
    </row>
    <row r="24">
      <c r="A24" s="21"/>
      <c r="B24" s="22" t="s">
        <v>153</v>
      </c>
      <c r="C24" s="1" t="s">
        <v>154</v>
      </c>
      <c r="D24" s="24">
        <v>1.0</v>
      </c>
      <c r="E24" s="1" t="s">
        <v>155</v>
      </c>
      <c r="F24" s="24">
        <v>1.0</v>
      </c>
      <c r="G24" s="1" t="s">
        <v>156</v>
      </c>
      <c r="H24" s="24">
        <v>1.0</v>
      </c>
      <c r="I24" s="1" t="s">
        <v>157</v>
      </c>
      <c r="J24" s="24">
        <v>1.0</v>
      </c>
      <c r="K24" s="1" t="s">
        <v>158</v>
      </c>
      <c r="L24" s="24">
        <v>3.0</v>
      </c>
      <c r="M24" s="26" t="s">
        <v>153</v>
      </c>
      <c r="O24" s="1" t="s">
        <v>154</v>
      </c>
      <c r="P24" s="24">
        <v>1.0</v>
      </c>
      <c r="Q24" s="1" t="s">
        <v>154</v>
      </c>
      <c r="R24" s="24">
        <v>1.0</v>
      </c>
      <c r="T24" s="1" t="s">
        <v>159</v>
      </c>
      <c r="U24" s="24">
        <v>1.0</v>
      </c>
      <c r="V24" s="1" t="s">
        <v>159</v>
      </c>
      <c r="W24" s="24">
        <v>1.0</v>
      </c>
    </row>
    <row r="25">
      <c r="A25" s="21"/>
      <c r="B25" s="27" t="s">
        <v>153</v>
      </c>
      <c r="C25" s="28"/>
      <c r="D25" s="29"/>
      <c r="E25" s="28"/>
      <c r="F25" s="29"/>
      <c r="G25" s="28"/>
      <c r="H25" s="29"/>
      <c r="I25" s="28"/>
      <c r="J25" s="29"/>
      <c r="K25" s="28"/>
      <c r="L25" s="29"/>
      <c r="M25" s="32" t="s">
        <v>153</v>
      </c>
      <c r="O25" s="28"/>
      <c r="P25" s="29"/>
      <c r="Q25" s="28"/>
      <c r="R25" s="29"/>
      <c r="T25" s="28"/>
      <c r="U25" s="29"/>
      <c r="V25" s="28"/>
      <c r="W25" s="29"/>
    </row>
    <row r="26">
      <c r="A26" s="21"/>
      <c r="B26" s="22" t="s">
        <v>160</v>
      </c>
      <c r="C26" s="46" t="s">
        <v>161</v>
      </c>
      <c r="D26" s="47">
        <v>10.0</v>
      </c>
      <c r="E26" s="46" t="s">
        <v>161</v>
      </c>
      <c r="F26" s="47">
        <v>18.0</v>
      </c>
      <c r="G26" s="48" t="s">
        <v>162</v>
      </c>
      <c r="H26" s="47">
        <v>6.0</v>
      </c>
      <c r="I26" s="46" t="s">
        <v>161</v>
      </c>
      <c r="J26" s="47">
        <v>18.0</v>
      </c>
      <c r="K26" s="46" t="s">
        <v>161</v>
      </c>
      <c r="L26" s="47">
        <v>55.0</v>
      </c>
      <c r="M26" s="26" t="s">
        <v>160</v>
      </c>
      <c r="O26" s="46" t="s">
        <v>161</v>
      </c>
      <c r="P26" s="47">
        <v>10.0</v>
      </c>
      <c r="Q26" s="46" t="s">
        <v>161</v>
      </c>
      <c r="R26" s="47">
        <v>10.0</v>
      </c>
      <c r="T26" s="46" t="s">
        <v>161</v>
      </c>
      <c r="U26" s="47">
        <v>7.0</v>
      </c>
      <c r="V26" s="46" t="s">
        <v>161</v>
      </c>
      <c r="W26" s="47">
        <v>7.0</v>
      </c>
    </row>
    <row r="27">
      <c r="A27" s="21"/>
      <c r="B27" s="22" t="s">
        <v>160</v>
      </c>
      <c r="C27" s="46"/>
      <c r="D27" s="47"/>
      <c r="E27" s="48"/>
      <c r="F27" s="49"/>
      <c r="G27" s="46" t="s">
        <v>163</v>
      </c>
      <c r="H27" s="47">
        <v>3.0</v>
      </c>
      <c r="I27" s="48"/>
      <c r="J27" s="49"/>
      <c r="K27" s="46"/>
      <c r="L27" s="47"/>
      <c r="M27" s="26" t="s">
        <v>160</v>
      </c>
      <c r="O27" s="50"/>
      <c r="P27" s="47"/>
      <c r="Q27" s="46"/>
      <c r="R27" s="47"/>
      <c r="T27" s="50"/>
      <c r="U27" s="47"/>
      <c r="V27" s="46"/>
      <c r="W27" s="47"/>
    </row>
    <row r="28">
      <c r="A28" s="21"/>
      <c r="B28" s="51" t="s">
        <v>160</v>
      </c>
      <c r="C28" s="52"/>
      <c r="D28" s="53"/>
      <c r="E28" s="52"/>
      <c r="F28" s="53"/>
      <c r="G28" s="54" t="s">
        <v>164</v>
      </c>
      <c r="H28" s="55">
        <v>4.0</v>
      </c>
      <c r="I28" s="52"/>
      <c r="J28" s="53"/>
      <c r="K28" s="52"/>
      <c r="L28" s="53"/>
      <c r="M28" s="56" t="s">
        <v>160</v>
      </c>
      <c r="O28" s="57"/>
      <c r="P28" s="55"/>
      <c r="Q28" s="54"/>
      <c r="R28" s="55"/>
      <c r="T28" s="57"/>
      <c r="U28" s="55"/>
      <c r="V28" s="54"/>
      <c r="W28" s="55"/>
    </row>
    <row r="29">
      <c r="C29" s="58" t="s">
        <v>165</v>
      </c>
      <c r="D29" s="59">
        <v>200.0</v>
      </c>
      <c r="E29" s="58" t="s">
        <v>165</v>
      </c>
      <c r="F29" s="59">
        <v>200.0</v>
      </c>
      <c r="G29" s="58" t="s">
        <v>165</v>
      </c>
      <c r="H29" s="59">
        <v>200.0</v>
      </c>
      <c r="I29" s="58" t="s">
        <v>165</v>
      </c>
      <c r="J29" s="59">
        <v>200.0</v>
      </c>
      <c r="K29" s="58" t="s">
        <v>165</v>
      </c>
      <c r="L29" s="59">
        <v>200.0</v>
      </c>
      <c r="O29" s="58" t="s">
        <v>165</v>
      </c>
      <c r="P29" s="59">
        <v>200.0</v>
      </c>
      <c r="Q29" s="58" t="s">
        <v>165</v>
      </c>
      <c r="R29" s="59">
        <v>200.0</v>
      </c>
      <c r="T29" s="58" t="s">
        <v>165</v>
      </c>
      <c r="U29" s="59">
        <v>200.0</v>
      </c>
      <c r="V29" s="58" t="s">
        <v>165</v>
      </c>
      <c r="W29" s="59">
        <v>200.0</v>
      </c>
    </row>
    <row r="30">
      <c r="C30" s="58" t="s">
        <v>166</v>
      </c>
      <c r="D30" s="60">
        <f>SUM(D4:D28)</f>
        <v>183</v>
      </c>
      <c r="E30" s="58" t="s">
        <v>166</v>
      </c>
      <c r="F30" s="60">
        <f>SUM(F4:F28)</f>
        <v>187</v>
      </c>
      <c r="G30" s="58" t="s">
        <v>166</v>
      </c>
      <c r="H30" s="60">
        <f>SUM(H4:H28)</f>
        <v>200</v>
      </c>
      <c r="I30" s="58" t="s">
        <v>166</v>
      </c>
      <c r="J30" s="60">
        <f>SUM(J4:J28)</f>
        <v>148</v>
      </c>
      <c r="K30" s="58" t="s">
        <v>166</v>
      </c>
      <c r="L30" s="60">
        <f>SUM(L4:L28)</f>
        <v>178</v>
      </c>
      <c r="O30" s="58" t="s">
        <v>166</v>
      </c>
      <c r="P30" s="60">
        <f>SUM(P4:P28)</f>
        <v>183</v>
      </c>
      <c r="Q30" s="58" t="s">
        <v>166</v>
      </c>
      <c r="R30" s="60">
        <f>SUM(R4:R28)</f>
        <v>176</v>
      </c>
      <c r="T30" s="58" t="s">
        <v>166</v>
      </c>
      <c r="U30" s="60">
        <f>SUM(U4:U28)</f>
        <v>200</v>
      </c>
      <c r="V30" s="58" t="s">
        <v>166</v>
      </c>
      <c r="W30" s="60">
        <f>SUM(W4:W28)</f>
        <v>207</v>
      </c>
    </row>
    <row r="31">
      <c r="C31" s="58" t="s">
        <v>167</v>
      </c>
      <c r="D31" s="60">
        <f>D29-D30</f>
        <v>17</v>
      </c>
      <c r="E31" s="58" t="s">
        <v>167</v>
      </c>
      <c r="F31" s="60">
        <f>F29-F30</f>
        <v>13</v>
      </c>
      <c r="G31" s="58" t="s">
        <v>167</v>
      </c>
      <c r="H31" s="60">
        <f>H29-H30</f>
        <v>0</v>
      </c>
      <c r="I31" s="58" t="s">
        <v>167</v>
      </c>
      <c r="J31" s="60">
        <f>J29-J30</f>
        <v>52</v>
      </c>
      <c r="K31" s="58" t="s">
        <v>167</v>
      </c>
      <c r="L31" s="60">
        <f>L29-L30</f>
        <v>22</v>
      </c>
      <c r="O31" s="58" t="s">
        <v>167</v>
      </c>
      <c r="P31" s="60">
        <f>P29-P30</f>
        <v>17</v>
      </c>
      <c r="Q31" s="58" t="s">
        <v>167</v>
      </c>
      <c r="R31" s="60">
        <f>R29-R30</f>
        <v>24</v>
      </c>
      <c r="T31" s="58" t="s">
        <v>167</v>
      </c>
      <c r="U31" s="60">
        <f>U29-U30</f>
        <v>0</v>
      </c>
      <c r="V31" s="58" t="s">
        <v>167</v>
      </c>
      <c r="W31" s="60">
        <f>W29-W30</f>
        <v>-7</v>
      </c>
    </row>
    <row r="36">
      <c r="A36" s="5"/>
      <c r="B36" s="5"/>
      <c r="C36" s="9" t="s">
        <v>168</v>
      </c>
      <c r="D36" s="10"/>
      <c r="E36" s="61" t="s">
        <v>18</v>
      </c>
      <c r="F36" s="10"/>
      <c r="G36" s="10" t="s">
        <v>21</v>
      </c>
      <c r="H36" s="10"/>
      <c r="I36" s="10" t="s">
        <v>24</v>
      </c>
      <c r="J36" s="10"/>
      <c r="K36" s="10" t="s">
        <v>26</v>
      </c>
      <c r="L36" s="62"/>
      <c r="M36" s="5"/>
      <c r="O36" s="9" t="s">
        <v>58</v>
      </c>
      <c r="P36" s="10"/>
      <c r="Q36" s="9" t="s">
        <v>59</v>
      </c>
    </row>
    <row r="37">
      <c r="A37" s="11"/>
      <c r="B37" s="63" t="s">
        <v>60</v>
      </c>
      <c r="C37" s="64" t="s">
        <v>4</v>
      </c>
      <c r="D37" s="19" t="s">
        <v>61</v>
      </c>
      <c r="E37" s="64" t="s">
        <v>4</v>
      </c>
      <c r="F37" s="19" t="s">
        <v>61</v>
      </c>
      <c r="G37" s="64" t="s">
        <v>4</v>
      </c>
      <c r="H37" s="19" t="s">
        <v>61</v>
      </c>
      <c r="I37" s="64" t="s">
        <v>4</v>
      </c>
      <c r="J37" s="19" t="s">
        <v>61</v>
      </c>
      <c r="K37" s="64" t="s">
        <v>4</v>
      </c>
      <c r="L37" s="19" t="s">
        <v>61</v>
      </c>
      <c r="M37" s="65" t="s">
        <v>60</v>
      </c>
      <c r="O37" s="18"/>
      <c r="P37" s="19"/>
      <c r="Q37" s="20"/>
      <c r="R37" s="19"/>
    </row>
    <row r="38">
      <c r="A38" s="59"/>
      <c r="B38" s="22" t="s">
        <v>62</v>
      </c>
      <c r="C38" s="1" t="s">
        <v>169</v>
      </c>
      <c r="D38" s="24">
        <v>2.0</v>
      </c>
      <c r="E38" s="23" t="s">
        <v>170</v>
      </c>
      <c r="F38" s="25">
        <v>18.0</v>
      </c>
      <c r="G38" s="23" t="s">
        <v>171</v>
      </c>
      <c r="H38" s="25">
        <v>7.0</v>
      </c>
      <c r="I38" s="23" t="s">
        <v>69</v>
      </c>
      <c r="J38" s="25">
        <v>12.0</v>
      </c>
      <c r="K38" s="23" t="s">
        <v>172</v>
      </c>
      <c r="L38" s="25">
        <v>14.0</v>
      </c>
      <c r="M38" s="26" t="s">
        <v>62</v>
      </c>
      <c r="O38" s="23" t="s">
        <v>69</v>
      </c>
      <c r="P38" s="25">
        <v>12.0</v>
      </c>
      <c r="Q38" s="23" t="s">
        <v>69</v>
      </c>
      <c r="R38" s="25">
        <v>12.0</v>
      </c>
    </row>
    <row r="39">
      <c r="A39" s="59"/>
      <c r="B39" s="22" t="s">
        <v>62</v>
      </c>
      <c r="D39" s="25"/>
      <c r="E39" s="23" t="s">
        <v>173</v>
      </c>
      <c r="F39" s="25">
        <v>10.0</v>
      </c>
      <c r="G39" s="23" t="s">
        <v>174</v>
      </c>
      <c r="H39" s="25">
        <v>3.0</v>
      </c>
      <c r="I39" s="1" t="s">
        <v>68</v>
      </c>
      <c r="J39" s="24">
        <v>10.0</v>
      </c>
      <c r="K39" s="1" t="s">
        <v>175</v>
      </c>
      <c r="L39" s="24">
        <v>23.0</v>
      </c>
      <c r="M39" s="26" t="s">
        <v>62</v>
      </c>
      <c r="O39" s="1" t="s">
        <v>68</v>
      </c>
      <c r="P39" s="24">
        <v>10.0</v>
      </c>
      <c r="Q39" s="1" t="s">
        <v>63</v>
      </c>
      <c r="R39" s="24">
        <v>17.0</v>
      </c>
    </row>
    <row r="40">
      <c r="A40" s="59"/>
      <c r="B40" s="27" t="s">
        <v>62</v>
      </c>
      <c r="C40" s="28"/>
      <c r="D40" s="29"/>
      <c r="E40" s="28"/>
      <c r="F40" s="29"/>
      <c r="G40" s="30" t="s">
        <v>176</v>
      </c>
      <c r="H40" s="29"/>
      <c r="I40" s="28"/>
      <c r="J40" s="29"/>
      <c r="K40" s="28"/>
      <c r="L40" s="29"/>
      <c r="M40" s="32" t="s">
        <v>62</v>
      </c>
      <c r="O40" s="28"/>
      <c r="P40" s="29"/>
      <c r="Q40" s="28"/>
      <c r="R40" s="29"/>
    </row>
    <row r="41">
      <c r="A41" s="59"/>
      <c r="B41" s="22" t="s">
        <v>74</v>
      </c>
      <c r="C41" s="1" t="s">
        <v>177</v>
      </c>
      <c r="D41" s="24">
        <v>10.0</v>
      </c>
      <c r="E41" s="23" t="s">
        <v>178</v>
      </c>
      <c r="F41" s="25">
        <v>26.0</v>
      </c>
      <c r="G41" s="23" t="s">
        <v>179</v>
      </c>
      <c r="H41" s="25">
        <v>25.0</v>
      </c>
      <c r="I41" s="23" t="s">
        <v>80</v>
      </c>
      <c r="J41" s="25">
        <v>42.0</v>
      </c>
      <c r="K41" s="23" t="s">
        <v>180</v>
      </c>
      <c r="L41" s="25">
        <v>51.0</v>
      </c>
      <c r="M41" s="26" t="s">
        <v>74</v>
      </c>
      <c r="O41" s="23" t="s">
        <v>80</v>
      </c>
      <c r="P41" s="25">
        <v>42.0</v>
      </c>
      <c r="Q41" s="23" t="s">
        <v>80</v>
      </c>
      <c r="R41" s="25">
        <v>42.0</v>
      </c>
    </row>
    <row r="42">
      <c r="A42" s="59"/>
      <c r="B42" s="22" t="s">
        <v>74</v>
      </c>
      <c r="C42" s="23" t="s">
        <v>181</v>
      </c>
      <c r="D42" s="25">
        <v>10.0</v>
      </c>
      <c r="E42" s="23" t="s">
        <v>182</v>
      </c>
      <c r="F42" s="25">
        <v>14.0</v>
      </c>
      <c r="G42" s="23" t="s">
        <v>183</v>
      </c>
      <c r="H42" s="25">
        <v>25.0</v>
      </c>
      <c r="I42" s="23" t="s">
        <v>86</v>
      </c>
      <c r="J42" s="25">
        <v>7.0</v>
      </c>
      <c r="K42" s="23" t="s">
        <v>184</v>
      </c>
      <c r="L42" s="25">
        <v>30.0</v>
      </c>
      <c r="M42" s="26" t="s">
        <v>74</v>
      </c>
      <c r="O42" s="23" t="s">
        <v>86</v>
      </c>
      <c r="P42" s="25">
        <v>7.0</v>
      </c>
      <c r="Q42" s="23" t="s">
        <v>86</v>
      </c>
      <c r="R42" s="25">
        <v>7.0</v>
      </c>
    </row>
    <row r="43">
      <c r="A43" s="59"/>
      <c r="B43" s="22" t="s">
        <v>74</v>
      </c>
      <c r="C43" s="1" t="s">
        <v>185</v>
      </c>
      <c r="D43" s="24">
        <v>35.0</v>
      </c>
      <c r="E43" s="1" t="s">
        <v>186</v>
      </c>
      <c r="F43" s="24">
        <v>21.0</v>
      </c>
      <c r="G43" s="23" t="s">
        <v>187</v>
      </c>
      <c r="H43" s="25">
        <v>16.0</v>
      </c>
      <c r="I43" s="23" t="s">
        <v>92</v>
      </c>
      <c r="J43" s="25">
        <v>4.0</v>
      </c>
      <c r="K43" s="23" t="s">
        <v>188</v>
      </c>
      <c r="L43" s="24">
        <v>2.0</v>
      </c>
      <c r="M43" s="26" t="s">
        <v>74</v>
      </c>
      <c r="O43" s="23" t="s">
        <v>92</v>
      </c>
      <c r="P43" s="25">
        <v>4.0</v>
      </c>
      <c r="Q43" s="23" t="s">
        <v>92</v>
      </c>
      <c r="R43" s="25">
        <v>4.0</v>
      </c>
    </row>
    <row r="44">
      <c r="A44" s="59"/>
      <c r="B44" s="22" t="s">
        <v>74</v>
      </c>
      <c r="C44" s="1" t="s">
        <v>189</v>
      </c>
      <c r="D44" s="1">
        <v>1.0</v>
      </c>
      <c r="E44" s="1" t="s">
        <v>190</v>
      </c>
      <c r="F44" s="1">
        <v>5.0</v>
      </c>
      <c r="G44" s="1" t="s">
        <v>191</v>
      </c>
      <c r="H44" s="24">
        <v>11.0</v>
      </c>
      <c r="I44" s="1" t="s">
        <v>98</v>
      </c>
      <c r="J44" s="24">
        <v>8.0</v>
      </c>
      <c r="K44" s="23" t="s">
        <v>192</v>
      </c>
      <c r="L44" s="24">
        <v>1.0</v>
      </c>
      <c r="M44" s="26" t="s">
        <v>74</v>
      </c>
      <c r="O44" s="1" t="s">
        <v>98</v>
      </c>
      <c r="P44" s="24">
        <v>8.0</v>
      </c>
      <c r="Q44" s="1" t="s">
        <v>98</v>
      </c>
      <c r="R44" s="24">
        <v>8.0</v>
      </c>
    </row>
    <row r="45">
      <c r="A45" s="59"/>
      <c r="B45" s="22" t="s">
        <v>74</v>
      </c>
      <c r="C45" s="1" t="s">
        <v>193</v>
      </c>
      <c r="D45" s="24">
        <v>33.0</v>
      </c>
      <c r="F45" s="25"/>
      <c r="G45" s="1" t="s">
        <v>194</v>
      </c>
      <c r="H45" s="24">
        <v>4.0</v>
      </c>
      <c r="J45" s="25"/>
      <c r="L45" s="25"/>
      <c r="M45" s="26" t="s">
        <v>74</v>
      </c>
      <c r="P45" s="25"/>
      <c r="R45" s="25"/>
    </row>
    <row r="46">
      <c r="A46" s="59"/>
      <c r="B46" s="27" t="s">
        <v>74</v>
      </c>
      <c r="C46" s="28"/>
      <c r="D46" s="29"/>
      <c r="E46" s="28"/>
      <c r="F46" s="29"/>
      <c r="G46" s="28"/>
      <c r="H46" s="29"/>
      <c r="I46" s="28"/>
      <c r="J46" s="29"/>
      <c r="K46" s="28"/>
      <c r="L46" s="29"/>
      <c r="M46" s="32" t="s">
        <v>74</v>
      </c>
      <c r="O46" s="28"/>
      <c r="P46" s="29"/>
      <c r="Q46" s="28"/>
      <c r="R46" s="29"/>
    </row>
    <row r="47">
      <c r="A47" s="59"/>
      <c r="B47" s="22" t="s">
        <v>105</v>
      </c>
      <c r="C47" s="23" t="s">
        <v>195</v>
      </c>
      <c r="D47" s="25">
        <v>13.0</v>
      </c>
      <c r="E47" s="23" t="s">
        <v>196</v>
      </c>
      <c r="F47" s="25">
        <v>32.0</v>
      </c>
      <c r="G47" s="23" t="s">
        <v>197</v>
      </c>
      <c r="H47" s="25">
        <v>17.0</v>
      </c>
      <c r="I47" s="23" t="s">
        <v>111</v>
      </c>
      <c r="J47" s="25">
        <v>36.0</v>
      </c>
      <c r="K47" s="23" t="s">
        <v>198</v>
      </c>
      <c r="L47" s="25">
        <v>23.0</v>
      </c>
      <c r="M47" s="26" t="s">
        <v>105</v>
      </c>
      <c r="O47" s="23" t="s">
        <v>111</v>
      </c>
      <c r="P47" s="25">
        <v>36.0</v>
      </c>
      <c r="Q47" s="23" t="s">
        <v>111</v>
      </c>
      <c r="R47" s="25">
        <v>36.0</v>
      </c>
    </row>
    <row r="48">
      <c r="A48" s="59"/>
      <c r="B48" s="22" t="s">
        <v>105</v>
      </c>
      <c r="C48" s="23" t="s">
        <v>199</v>
      </c>
      <c r="D48" s="25">
        <v>15.0</v>
      </c>
      <c r="E48" s="23" t="s">
        <v>200</v>
      </c>
      <c r="F48" s="25">
        <v>18.0</v>
      </c>
      <c r="G48" s="23" t="s">
        <v>201</v>
      </c>
      <c r="H48" s="25">
        <v>15.0</v>
      </c>
      <c r="I48" s="23" t="s">
        <v>117</v>
      </c>
      <c r="J48" s="25">
        <v>13.0</v>
      </c>
      <c r="K48" s="23" t="s">
        <v>202</v>
      </c>
      <c r="L48" s="35">
        <v>19.0</v>
      </c>
      <c r="M48" s="26" t="s">
        <v>105</v>
      </c>
      <c r="O48" s="23" t="s">
        <v>117</v>
      </c>
      <c r="P48" s="25">
        <v>13.0</v>
      </c>
      <c r="Q48" s="23" t="s">
        <v>117</v>
      </c>
      <c r="R48" s="25">
        <v>13.0</v>
      </c>
    </row>
    <row r="49">
      <c r="A49" s="59"/>
      <c r="B49" s="22" t="s">
        <v>105</v>
      </c>
      <c r="C49" s="23" t="s">
        <v>203</v>
      </c>
      <c r="D49" s="25">
        <v>14.0</v>
      </c>
      <c r="E49" s="23" t="s">
        <v>204</v>
      </c>
      <c r="F49" s="25">
        <v>16.0</v>
      </c>
      <c r="G49" s="23" t="s">
        <v>205</v>
      </c>
      <c r="H49" s="25">
        <v>6.0</v>
      </c>
      <c r="I49" s="23" t="s">
        <v>123</v>
      </c>
      <c r="J49" s="24">
        <v>16.0</v>
      </c>
      <c r="K49" s="23" t="s">
        <v>206</v>
      </c>
      <c r="L49" s="25">
        <v>15.0</v>
      </c>
      <c r="M49" s="26" t="s">
        <v>105</v>
      </c>
      <c r="O49" s="23" t="s">
        <v>123</v>
      </c>
      <c r="P49" s="24">
        <v>16.0</v>
      </c>
      <c r="Q49" s="23" t="s">
        <v>123</v>
      </c>
      <c r="R49" s="24">
        <v>16.0</v>
      </c>
    </row>
    <row r="50">
      <c r="A50" s="59"/>
      <c r="B50" s="22" t="s">
        <v>105</v>
      </c>
      <c r="D50" s="24"/>
      <c r="E50" s="23" t="s">
        <v>207</v>
      </c>
      <c r="F50" s="25">
        <v>11.0</v>
      </c>
      <c r="G50" s="1" t="s">
        <v>208</v>
      </c>
      <c r="H50" s="24">
        <v>15.0</v>
      </c>
      <c r="I50" s="1" t="s">
        <v>128</v>
      </c>
      <c r="J50" s="24">
        <v>2.0</v>
      </c>
      <c r="K50" s="23" t="s">
        <v>209</v>
      </c>
      <c r="L50" s="24">
        <v>3.0</v>
      </c>
      <c r="M50" s="26" t="s">
        <v>105</v>
      </c>
      <c r="O50" s="1" t="s">
        <v>128</v>
      </c>
      <c r="P50" s="24">
        <v>2.0</v>
      </c>
      <c r="Q50" s="1" t="s">
        <v>128</v>
      </c>
      <c r="R50" s="24">
        <v>2.0</v>
      </c>
    </row>
    <row r="51">
      <c r="A51" s="59"/>
      <c r="B51" s="22" t="s">
        <v>105</v>
      </c>
      <c r="C51" s="23" t="s">
        <v>210</v>
      </c>
      <c r="D51" s="24">
        <v>6.0</v>
      </c>
      <c r="E51" s="1" t="s">
        <v>211</v>
      </c>
      <c r="F51" s="24">
        <v>20.0</v>
      </c>
      <c r="G51" s="1" t="s">
        <v>212</v>
      </c>
      <c r="H51" s="24">
        <v>12.0</v>
      </c>
      <c r="I51" s="1" t="s">
        <v>132</v>
      </c>
      <c r="J51" s="24">
        <v>27.0</v>
      </c>
      <c r="L51" s="24"/>
      <c r="M51" s="26" t="s">
        <v>105</v>
      </c>
      <c r="O51" s="1" t="s">
        <v>132</v>
      </c>
      <c r="P51" s="24">
        <v>27.0</v>
      </c>
      <c r="Q51" s="1" t="s">
        <v>132</v>
      </c>
      <c r="R51" s="24">
        <v>27.0</v>
      </c>
    </row>
    <row r="52">
      <c r="A52" s="59"/>
      <c r="B52" s="27" t="s">
        <v>105</v>
      </c>
      <c r="C52" s="30" t="s">
        <v>213</v>
      </c>
      <c r="D52" s="31">
        <v>6.0</v>
      </c>
      <c r="E52" s="30" t="s">
        <v>214</v>
      </c>
      <c r="F52" s="29"/>
      <c r="G52" s="28"/>
      <c r="H52" s="31"/>
      <c r="I52" s="28"/>
      <c r="J52" s="29"/>
      <c r="K52" s="28"/>
      <c r="L52" s="29"/>
      <c r="M52" s="32" t="s">
        <v>105</v>
      </c>
      <c r="O52" s="28"/>
      <c r="P52" s="29"/>
      <c r="Q52" s="28"/>
      <c r="R52" s="29"/>
    </row>
    <row r="53">
      <c r="A53" s="59"/>
      <c r="B53" s="22" t="s">
        <v>135</v>
      </c>
      <c r="C53" s="23" t="s">
        <v>215</v>
      </c>
      <c r="D53" s="24">
        <v>1.0</v>
      </c>
      <c r="E53" s="23" t="s">
        <v>216</v>
      </c>
      <c r="F53" s="25">
        <v>3.0</v>
      </c>
      <c r="G53" s="23" t="s">
        <v>217</v>
      </c>
      <c r="H53" s="24">
        <v>6.0</v>
      </c>
      <c r="I53" s="23" t="s">
        <v>141</v>
      </c>
      <c r="J53" s="25">
        <v>3.0</v>
      </c>
      <c r="K53" s="1" t="s">
        <v>218</v>
      </c>
      <c r="L53" s="24">
        <v>16.0</v>
      </c>
      <c r="M53" s="26" t="s">
        <v>135</v>
      </c>
      <c r="O53" s="23" t="s">
        <v>141</v>
      </c>
      <c r="P53" s="25">
        <v>3.0</v>
      </c>
      <c r="Q53" s="23" t="s">
        <v>141</v>
      </c>
      <c r="R53" s="25">
        <v>3.0</v>
      </c>
    </row>
    <row r="54">
      <c r="A54" s="59"/>
      <c r="B54" s="22" t="s">
        <v>135</v>
      </c>
      <c r="C54" s="1" t="s">
        <v>219</v>
      </c>
      <c r="D54" s="24">
        <v>14.0</v>
      </c>
      <c r="F54" s="24"/>
      <c r="G54" s="1" t="s">
        <v>220</v>
      </c>
      <c r="H54" s="24">
        <v>12.0</v>
      </c>
      <c r="I54" s="23" t="s">
        <v>144</v>
      </c>
      <c r="J54" s="25">
        <v>3.0</v>
      </c>
      <c r="L54" s="25"/>
      <c r="M54" s="26" t="s">
        <v>135</v>
      </c>
      <c r="O54" s="23" t="s">
        <v>144</v>
      </c>
      <c r="P54" s="25">
        <v>3.0</v>
      </c>
      <c r="Q54" s="23" t="s">
        <v>144</v>
      </c>
      <c r="R54" s="25">
        <v>3.0</v>
      </c>
    </row>
    <row r="55">
      <c r="A55" s="59"/>
      <c r="B55" s="27" t="s">
        <v>135</v>
      </c>
      <c r="C55" s="28"/>
      <c r="D55" s="29"/>
      <c r="E55" s="28"/>
      <c r="F55" s="29"/>
      <c r="G55" s="30" t="s">
        <v>221</v>
      </c>
      <c r="H55" s="29"/>
      <c r="I55" s="30" t="s">
        <v>145</v>
      </c>
      <c r="J55" s="31">
        <v>8.0</v>
      </c>
      <c r="K55" s="28"/>
      <c r="L55" s="29"/>
      <c r="M55" s="32" t="s">
        <v>135</v>
      </c>
      <c r="O55" s="30" t="s">
        <v>145</v>
      </c>
      <c r="P55" s="31">
        <v>8.0</v>
      </c>
      <c r="Q55" s="30" t="s">
        <v>145</v>
      </c>
      <c r="R55" s="31">
        <v>8.0</v>
      </c>
    </row>
    <row r="56">
      <c r="A56" s="59"/>
      <c r="B56" s="22" t="s">
        <v>146</v>
      </c>
      <c r="C56" s="1" t="s">
        <v>222</v>
      </c>
      <c r="D56" s="24">
        <v>2.0</v>
      </c>
      <c r="E56" s="1" t="s">
        <v>223</v>
      </c>
      <c r="F56" s="25"/>
      <c r="G56" s="23" t="s">
        <v>224</v>
      </c>
      <c r="H56" s="25">
        <v>2.0</v>
      </c>
      <c r="I56" s="23" t="s">
        <v>152</v>
      </c>
      <c r="J56" s="25">
        <v>1.0</v>
      </c>
      <c r="K56" s="1" t="s">
        <v>225</v>
      </c>
      <c r="L56" s="24">
        <v>1.0</v>
      </c>
      <c r="M56" s="26" t="s">
        <v>146</v>
      </c>
      <c r="O56" s="23" t="s">
        <v>152</v>
      </c>
      <c r="P56" s="25">
        <v>1.0</v>
      </c>
      <c r="Q56" s="23" t="s">
        <v>152</v>
      </c>
      <c r="R56" s="25">
        <v>1.0</v>
      </c>
    </row>
    <row r="57">
      <c r="A57" s="59"/>
      <c r="B57" s="27" t="s">
        <v>146</v>
      </c>
      <c r="C57" s="28"/>
      <c r="D57" s="29"/>
      <c r="E57" s="28"/>
      <c r="F57" s="29"/>
      <c r="G57" s="28" t="s">
        <v>226</v>
      </c>
      <c r="H57" s="29">
        <v>2.0</v>
      </c>
      <c r="I57" s="28"/>
      <c r="J57" s="29"/>
      <c r="K57" s="28"/>
      <c r="L57" s="29"/>
      <c r="M57" s="32" t="s">
        <v>146</v>
      </c>
      <c r="O57" s="28"/>
      <c r="P57" s="29"/>
      <c r="Q57" s="28"/>
      <c r="R57" s="29"/>
    </row>
    <row r="58">
      <c r="A58" s="59"/>
      <c r="B58" s="22" t="s">
        <v>153</v>
      </c>
      <c r="C58" s="1" t="s">
        <v>227</v>
      </c>
      <c r="D58" s="24">
        <v>2.0</v>
      </c>
      <c r="F58" s="25"/>
      <c r="G58" s="1" t="s">
        <v>228</v>
      </c>
      <c r="H58" s="24">
        <v>2.0</v>
      </c>
      <c r="I58" s="1" t="s">
        <v>159</v>
      </c>
      <c r="J58" s="24">
        <v>1.0</v>
      </c>
      <c r="K58" s="1" t="s">
        <v>229</v>
      </c>
      <c r="L58" s="25"/>
      <c r="M58" s="26" t="s">
        <v>153</v>
      </c>
      <c r="O58" s="1" t="s">
        <v>159</v>
      </c>
      <c r="P58" s="24">
        <v>1.0</v>
      </c>
      <c r="Q58" s="1" t="s">
        <v>159</v>
      </c>
      <c r="R58" s="24">
        <v>1.0</v>
      </c>
    </row>
    <row r="59">
      <c r="A59" s="59"/>
      <c r="B59" s="27" t="s">
        <v>153</v>
      </c>
      <c r="C59" s="28"/>
      <c r="D59" s="29"/>
      <c r="E59" s="28"/>
      <c r="F59" s="29"/>
      <c r="G59" s="30" t="s">
        <v>230</v>
      </c>
      <c r="H59" s="31">
        <v>2.0</v>
      </c>
      <c r="I59" s="28"/>
      <c r="J59" s="29"/>
      <c r="K59" s="28"/>
      <c r="L59" s="29"/>
      <c r="M59" s="32" t="s">
        <v>153</v>
      </c>
      <c r="O59" s="28"/>
      <c r="P59" s="29"/>
      <c r="Q59" s="28"/>
      <c r="R59" s="29"/>
    </row>
    <row r="60">
      <c r="A60" s="59"/>
      <c r="B60" s="22" t="s">
        <v>160</v>
      </c>
      <c r="C60" s="46" t="s">
        <v>231</v>
      </c>
      <c r="D60" s="47">
        <v>3.0</v>
      </c>
      <c r="E60" s="48"/>
      <c r="F60" s="49"/>
      <c r="G60" s="48"/>
      <c r="H60" s="49"/>
      <c r="I60" s="46" t="s">
        <v>161</v>
      </c>
      <c r="J60" s="47">
        <v>7.0</v>
      </c>
      <c r="K60" s="46"/>
      <c r="L60" s="47"/>
      <c r="M60" s="26" t="s">
        <v>160</v>
      </c>
      <c r="O60" s="46" t="s">
        <v>161</v>
      </c>
      <c r="P60" s="47">
        <v>7.0</v>
      </c>
      <c r="Q60" s="46" t="s">
        <v>161</v>
      </c>
      <c r="R60" s="47">
        <v>7.0</v>
      </c>
    </row>
    <row r="61">
      <c r="A61" s="59"/>
      <c r="B61" s="22" t="s">
        <v>160</v>
      </c>
      <c r="C61" s="46" t="s">
        <v>232</v>
      </c>
      <c r="D61" s="47">
        <v>12.0</v>
      </c>
      <c r="E61" s="48"/>
      <c r="F61" s="49"/>
      <c r="G61" s="48"/>
      <c r="H61" s="49"/>
      <c r="I61" s="46"/>
      <c r="J61" s="47"/>
      <c r="K61" s="48"/>
      <c r="L61" s="49"/>
      <c r="M61" s="26" t="s">
        <v>160</v>
      </c>
      <c r="O61" s="50"/>
      <c r="P61" s="47"/>
      <c r="Q61" s="46"/>
      <c r="R61" s="47"/>
    </row>
    <row r="62">
      <c r="A62" s="59"/>
      <c r="B62" s="51" t="s">
        <v>160</v>
      </c>
      <c r="C62" s="52"/>
      <c r="D62" s="53"/>
      <c r="E62" s="52"/>
      <c r="F62" s="53"/>
      <c r="G62" s="52"/>
      <c r="H62" s="53"/>
      <c r="I62" s="52"/>
      <c r="J62" s="53"/>
      <c r="K62" s="52"/>
      <c r="L62" s="53"/>
      <c r="M62" s="56" t="s">
        <v>160</v>
      </c>
      <c r="O62" s="57"/>
      <c r="P62" s="55"/>
      <c r="Q62" s="54"/>
      <c r="R62" s="55"/>
    </row>
    <row r="63">
      <c r="C63" s="58" t="s">
        <v>165</v>
      </c>
      <c r="D63" s="59">
        <v>200.0</v>
      </c>
      <c r="E63" s="58" t="s">
        <v>165</v>
      </c>
      <c r="F63" s="59">
        <v>200.0</v>
      </c>
      <c r="G63" s="58" t="s">
        <v>165</v>
      </c>
      <c r="H63" s="59">
        <v>200.0</v>
      </c>
      <c r="I63" s="58" t="s">
        <v>165</v>
      </c>
      <c r="J63" s="59">
        <v>200.0</v>
      </c>
      <c r="K63" s="58" t="s">
        <v>165</v>
      </c>
      <c r="L63" s="59">
        <v>200.0</v>
      </c>
      <c r="O63" s="58" t="s">
        <v>165</v>
      </c>
      <c r="P63" s="59">
        <v>200.0</v>
      </c>
      <c r="Q63" s="58" t="s">
        <v>165</v>
      </c>
      <c r="R63" s="59">
        <v>200.0</v>
      </c>
    </row>
    <row r="64">
      <c r="C64" s="58" t="s">
        <v>166</v>
      </c>
      <c r="D64" s="23">
        <f>SUM(D38:D62)</f>
        <v>179</v>
      </c>
      <c r="E64" s="58" t="s">
        <v>166</v>
      </c>
      <c r="F64" s="23">
        <f>SUM(F38:F62)</f>
        <v>194</v>
      </c>
      <c r="G64" s="58" t="s">
        <v>166</v>
      </c>
      <c r="H64" s="23">
        <f>SUM(H38:H62)</f>
        <v>182</v>
      </c>
      <c r="I64" s="58" t="s">
        <v>166</v>
      </c>
      <c r="J64" s="23">
        <f>SUM(J38:J62)</f>
        <v>200</v>
      </c>
      <c r="K64" s="58" t="s">
        <v>166</v>
      </c>
      <c r="L64" s="23">
        <f>SUM(L38:L62)</f>
        <v>198</v>
      </c>
      <c r="O64" s="58" t="s">
        <v>166</v>
      </c>
      <c r="P64" s="60">
        <f>SUM(P38:P62)</f>
        <v>200</v>
      </c>
      <c r="Q64" s="58" t="s">
        <v>166</v>
      </c>
      <c r="R64" s="60">
        <f>SUM(R38:R62)</f>
        <v>207</v>
      </c>
    </row>
    <row r="65">
      <c r="C65" s="58" t="s">
        <v>167</v>
      </c>
      <c r="D65" s="23">
        <f>D63-D64</f>
        <v>21</v>
      </c>
      <c r="E65" s="58" t="s">
        <v>167</v>
      </c>
      <c r="F65" s="23">
        <f>F63-F64</f>
        <v>6</v>
      </c>
      <c r="G65" s="58" t="s">
        <v>167</v>
      </c>
      <c r="H65" s="23">
        <f>H63-H64</f>
        <v>18</v>
      </c>
      <c r="I65" s="58" t="s">
        <v>167</v>
      </c>
      <c r="J65" s="23">
        <f>J63-J64</f>
        <v>0</v>
      </c>
      <c r="K65" s="58" t="s">
        <v>167</v>
      </c>
      <c r="L65" s="23">
        <f>L63-L64</f>
        <v>2</v>
      </c>
      <c r="O65" s="58" t="s">
        <v>167</v>
      </c>
      <c r="P65" s="60">
        <f>P63-P64</f>
        <v>0</v>
      </c>
      <c r="Q65" s="58" t="s">
        <v>167</v>
      </c>
      <c r="R65" s="60">
        <f>R63-R64</f>
        <v>-7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5.13"/>
  </cols>
  <sheetData>
    <row r="2">
      <c r="A2" s="1" t="s">
        <v>233</v>
      </c>
      <c r="B2" s="66"/>
      <c r="C2" s="66" t="s">
        <v>52</v>
      </c>
      <c r="D2" s="66"/>
      <c r="E2" s="66"/>
      <c r="F2" s="66"/>
      <c r="G2" s="66"/>
    </row>
    <row r="3">
      <c r="B3" s="66"/>
      <c r="C3" s="67" t="s">
        <v>4</v>
      </c>
      <c r="D3" s="67" t="s">
        <v>234</v>
      </c>
      <c r="E3" s="67" t="s">
        <v>235</v>
      </c>
      <c r="F3" s="67" t="s">
        <v>236</v>
      </c>
      <c r="G3" s="67" t="s">
        <v>237</v>
      </c>
    </row>
    <row r="4">
      <c r="B4" s="68" t="s">
        <v>62</v>
      </c>
      <c r="C4" s="69" t="s">
        <v>63</v>
      </c>
      <c r="D4" s="70">
        <v>12.0</v>
      </c>
      <c r="E4" s="71">
        <v>45292.0</v>
      </c>
      <c r="F4" s="72">
        <v>17.0</v>
      </c>
      <c r="G4" s="69"/>
    </row>
    <row r="5">
      <c r="B5" s="68" t="s">
        <v>62</v>
      </c>
      <c r="C5" s="69"/>
      <c r="D5" s="69"/>
      <c r="E5" s="69"/>
      <c r="F5" s="69"/>
      <c r="G5" s="69"/>
    </row>
    <row r="6">
      <c r="B6" s="68" t="s">
        <v>62</v>
      </c>
      <c r="C6" s="69"/>
      <c r="D6" s="69"/>
      <c r="E6" s="69"/>
      <c r="F6" s="69"/>
      <c r="G6" s="69"/>
    </row>
    <row r="7">
      <c r="B7" s="68" t="s">
        <v>74</v>
      </c>
      <c r="C7" s="69" t="s">
        <v>75</v>
      </c>
      <c r="D7" s="70">
        <v>22.0</v>
      </c>
      <c r="E7" s="71">
        <v>45293.0</v>
      </c>
      <c r="F7" s="72">
        <v>27.0</v>
      </c>
      <c r="G7" s="72">
        <v>32.0</v>
      </c>
    </row>
    <row r="8">
      <c r="B8" s="68" t="s">
        <v>74</v>
      </c>
      <c r="C8" s="69" t="s">
        <v>81</v>
      </c>
      <c r="D8" s="70">
        <v>9.0</v>
      </c>
      <c r="E8" s="69"/>
      <c r="F8" s="73">
        <v>9.0</v>
      </c>
      <c r="G8" s="69"/>
    </row>
    <row r="9">
      <c r="B9" s="68" t="s">
        <v>74</v>
      </c>
      <c r="C9" s="69" t="s">
        <v>87</v>
      </c>
      <c r="D9" s="70">
        <v>5.0</v>
      </c>
      <c r="E9" s="74">
        <v>45325.0</v>
      </c>
      <c r="F9" s="73">
        <v>10.0</v>
      </c>
      <c r="G9" s="73">
        <v>15.0</v>
      </c>
    </row>
    <row r="10">
      <c r="B10" s="68" t="s">
        <v>74</v>
      </c>
      <c r="C10" s="69" t="s">
        <v>93</v>
      </c>
      <c r="D10" s="70">
        <v>3.0</v>
      </c>
      <c r="E10" s="75">
        <v>45292.0</v>
      </c>
      <c r="F10" s="72">
        <v>8.0</v>
      </c>
      <c r="G10" s="69"/>
    </row>
    <row r="11">
      <c r="B11" s="68" t="s">
        <v>74</v>
      </c>
      <c r="C11" s="72"/>
      <c r="D11" s="69"/>
      <c r="E11" s="69"/>
      <c r="F11" s="69"/>
      <c r="G11" s="69"/>
    </row>
    <row r="12">
      <c r="B12" s="68" t="s">
        <v>74</v>
      </c>
      <c r="C12" s="69"/>
      <c r="D12" s="69"/>
      <c r="E12" s="69"/>
      <c r="F12" s="69"/>
      <c r="G12" s="69"/>
    </row>
    <row r="13">
      <c r="B13" s="68" t="s">
        <v>105</v>
      </c>
      <c r="C13" s="69" t="s">
        <v>112</v>
      </c>
      <c r="D13" s="70">
        <v>13.0</v>
      </c>
      <c r="E13" s="74">
        <v>45324.0</v>
      </c>
      <c r="F13" s="73">
        <v>18.0</v>
      </c>
      <c r="G13" s="69"/>
    </row>
    <row r="14">
      <c r="B14" s="68" t="s">
        <v>105</v>
      </c>
      <c r="C14" s="69" t="s">
        <v>118</v>
      </c>
      <c r="D14" s="70">
        <v>10.0</v>
      </c>
      <c r="E14" s="74">
        <v>45325.0</v>
      </c>
      <c r="F14" s="73">
        <v>15.0</v>
      </c>
      <c r="G14" s="73">
        <v>20.0</v>
      </c>
    </row>
    <row r="15">
      <c r="B15" s="68" t="s">
        <v>105</v>
      </c>
      <c r="C15" s="69"/>
      <c r="D15" s="69"/>
      <c r="E15" s="69"/>
      <c r="F15" s="69"/>
      <c r="G15" s="69"/>
    </row>
    <row r="16">
      <c r="B16" s="68" t="s">
        <v>105</v>
      </c>
      <c r="C16" s="69" t="s">
        <v>124</v>
      </c>
      <c r="D16" s="70">
        <v>3.0</v>
      </c>
      <c r="E16" s="73" t="s">
        <v>238</v>
      </c>
      <c r="F16" s="73">
        <v>3.0</v>
      </c>
      <c r="G16" s="69"/>
    </row>
    <row r="17">
      <c r="B17" s="68" t="s">
        <v>105</v>
      </c>
      <c r="C17" s="69"/>
      <c r="D17" s="69"/>
      <c r="E17" s="69"/>
      <c r="F17" s="69"/>
      <c r="G17" s="69"/>
    </row>
    <row r="18">
      <c r="B18" s="68" t="s">
        <v>105</v>
      </c>
      <c r="C18" s="69"/>
      <c r="D18" s="69"/>
      <c r="E18" s="69"/>
      <c r="F18" s="69"/>
      <c r="G18" s="69"/>
    </row>
    <row r="19">
      <c r="B19" s="68" t="s">
        <v>135</v>
      </c>
      <c r="C19" s="69"/>
      <c r="D19" s="69"/>
      <c r="E19" s="69"/>
      <c r="F19" s="69"/>
      <c r="G19" s="69"/>
    </row>
    <row r="20">
      <c r="B20" s="68" t="s">
        <v>135</v>
      </c>
      <c r="C20" s="69" t="s">
        <v>136</v>
      </c>
      <c r="D20" s="70">
        <v>3.0</v>
      </c>
      <c r="E20" s="73" t="s">
        <v>238</v>
      </c>
      <c r="F20" s="73">
        <v>3.0</v>
      </c>
      <c r="G20" s="69"/>
    </row>
    <row r="21">
      <c r="B21" s="68" t="s">
        <v>146</v>
      </c>
      <c r="C21" s="69" t="s">
        <v>147</v>
      </c>
      <c r="D21" s="70">
        <v>1.0</v>
      </c>
      <c r="E21" s="73" t="s">
        <v>238</v>
      </c>
      <c r="F21" s="73">
        <v>1.0</v>
      </c>
      <c r="G21" s="69"/>
    </row>
    <row r="22">
      <c r="B22" s="68" t="s">
        <v>146</v>
      </c>
      <c r="C22" s="69"/>
      <c r="D22" s="69"/>
      <c r="E22" s="69"/>
      <c r="F22" s="69"/>
      <c r="G22" s="69"/>
    </row>
    <row r="23">
      <c r="B23" s="68" t="s">
        <v>153</v>
      </c>
      <c r="C23" s="69"/>
      <c r="D23" s="69"/>
      <c r="E23" s="69"/>
      <c r="F23" s="69"/>
      <c r="G23" s="69"/>
    </row>
    <row r="24">
      <c r="B24" s="68" t="s">
        <v>153</v>
      </c>
      <c r="C24" s="69"/>
      <c r="D24" s="69"/>
      <c r="E24" s="69"/>
      <c r="F24" s="69"/>
      <c r="G24" s="69"/>
    </row>
    <row r="25">
      <c r="B25" s="68" t="s">
        <v>239</v>
      </c>
      <c r="C25" s="69"/>
      <c r="D25" s="69"/>
      <c r="E25" s="69"/>
      <c r="F25" s="69"/>
      <c r="G25" s="69"/>
    </row>
    <row r="26">
      <c r="B26" s="66"/>
      <c r="C26" s="66"/>
      <c r="D26" s="66"/>
      <c r="E26" s="66"/>
      <c r="F26" s="66"/>
      <c r="G26" s="66"/>
    </row>
    <row r="27">
      <c r="B27" s="66"/>
      <c r="C27" s="66"/>
      <c r="D27" s="66"/>
      <c r="E27" s="68" t="s">
        <v>240</v>
      </c>
      <c r="F27" s="68">
        <f t="shared" ref="F27:G27" si="1">SUM(F3:F25)</f>
        <v>111</v>
      </c>
      <c r="G27" s="68">
        <f t="shared" si="1"/>
        <v>67</v>
      </c>
    </row>
    <row r="28">
      <c r="B28" s="66"/>
      <c r="C28" s="66"/>
      <c r="D28" s="66"/>
      <c r="E28" s="68" t="s">
        <v>241</v>
      </c>
      <c r="F28" s="68">
        <v>200.0</v>
      </c>
      <c r="G28" s="68">
        <v>200.0</v>
      </c>
    </row>
    <row r="29">
      <c r="B29" s="66"/>
      <c r="C29" s="66"/>
      <c r="D29" s="66"/>
      <c r="E29" s="76" t="s">
        <v>242</v>
      </c>
      <c r="F29" s="76">
        <f t="shared" ref="F29:G29" si="2">F28-F27</f>
        <v>89</v>
      </c>
      <c r="G29" s="76">
        <f t="shared" si="2"/>
        <v>133</v>
      </c>
    </row>
    <row r="34">
      <c r="C34" s="1" t="s">
        <v>243</v>
      </c>
      <c r="D34" s="1">
        <v>7.0</v>
      </c>
    </row>
    <row r="35">
      <c r="C35" s="1" t="s">
        <v>244</v>
      </c>
      <c r="D35" s="1">
        <v>11.0</v>
      </c>
    </row>
    <row r="36">
      <c r="C36" s="1" t="s">
        <v>245</v>
      </c>
      <c r="D36" s="1">
        <v>13.0</v>
      </c>
    </row>
    <row r="37">
      <c r="C37" s="1" t="s">
        <v>246</v>
      </c>
      <c r="D37" s="1">
        <v>4.0</v>
      </c>
    </row>
    <row r="38">
      <c r="C38" s="1" t="s">
        <v>247</v>
      </c>
      <c r="D38" s="1">
        <v>11.0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5.13"/>
  </cols>
  <sheetData>
    <row r="2">
      <c r="A2" s="1" t="s">
        <v>233</v>
      </c>
      <c r="B2" s="66"/>
      <c r="C2" s="66"/>
      <c r="D2" s="66"/>
      <c r="E2" s="66"/>
      <c r="F2" s="66"/>
      <c r="G2" s="66"/>
    </row>
    <row r="3">
      <c r="B3" s="66"/>
      <c r="C3" s="66" t="s">
        <v>53</v>
      </c>
      <c r="D3" s="66"/>
      <c r="E3" s="66"/>
      <c r="F3" s="66"/>
      <c r="G3" s="66"/>
    </row>
    <row r="4">
      <c r="B4" s="66"/>
      <c r="C4" s="67" t="s">
        <v>4</v>
      </c>
      <c r="D4" s="67" t="s">
        <v>234</v>
      </c>
      <c r="E4" s="67" t="s">
        <v>235</v>
      </c>
      <c r="F4" s="67" t="s">
        <v>236</v>
      </c>
      <c r="G4" s="67" t="s">
        <v>237</v>
      </c>
      <c r="H4" s="77" t="s">
        <v>248</v>
      </c>
    </row>
    <row r="5">
      <c r="B5" s="68" t="s">
        <v>62</v>
      </c>
      <c r="C5" s="69" t="s">
        <v>64</v>
      </c>
      <c r="D5" s="70">
        <v>18.0</v>
      </c>
      <c r="E5" s="73" t="s">
        <v>238</v>
      </c>
      <c r="F5" s="73">
        <v>18.0</v>
      </c>
      <c r="G5" s="69"/>
      <c r="H5" s="3"/>
    </row>
    <row r="6">
      <c r="B6" s="68" t="s">
        <v>62</v>
      </c>
      <c r="C6" s="69"/>
      <c r="D6" s="69"/>
      <c r="E6" s="69"/>
      <c r="F6" s="69"/>
      <c r="G6" s="69"/>
      <c r="H6" s="3"/>
    </row>
    <row r="7">
      <c r="B7" s="68" t="s">
        <v>62</v>
      </c>
      <c r="C7" s="69"/>
      <c r="D7" s="69"/>
      <c r="E7" s="69"/>
      <c r="F7" s="69"/>
      <c r="G7" s="69"/>
      <c r="H7" s="3"/>
    </row>
    <row r="8">
      <c r="B8" s="68" t="s">
        <v>74</v>
      </c>
      <c r="C8" s="69" t="s">
        <v>76</v>
      </c>
      <c r="D8" s="70">
        <v>32.0</v>
      </c>
      <c r="E8" s="73" t="s">
        <v>238</v>
      </c>
      <c r="F8" s="73">
        <v>32.0</v>
      </c>
      <c r="G8" s="69"/>
      <c r="H8" s="3"/>
    </row>
    <row r="9">
      <c r="B9" s="68" t="s">
        <v>74</v>
      </c>
      <c r="C9" s="69" t="s">
        <v>82</v>
      </c>
      <c r="D9" s="70">
        <v>11.0</v>
      </c>
      <c r="E9" s="71">
        <v>45293.0</v>
      </c>
      <c r="F9" s="72">
        <v>16.0</v>
      </c>
      <c r="G9" s="72">
        <v>21.0</v>
      </c>
      <c r="H9" s="3"/>
    </row>
    <row r="10">
      <c r="B10" s="68" t="s">
        <v>74</v>
      </c>
      <c r="C10" s="69" t="s">
        <v>88</v>
      </c>
      <c r="D10" s="70">
        <v>5.0</v>
      </c>
      <c r="E10" s="74">
        <v>45325.0</v>
      </c>
      <c r="F10" s="73">
        <v>10.0</v>
      </c>
      <c r="G10" s="73">
        <v>15.0</v>
      </c>
      <c r="H10" s="3"/>
    </row>
    <row r="11">
      <c r="B11" s="68" t="s">
        <v>74</v>
      </c>
      <c r="C11" s="69" t="s">
        <v>94</v>
      </c>
      <c r="D11" s="70">
        <v>5.0</v>
      </c>
      <c r="E11" s="73" t="s">
        <v>238</v>
      </c>
      <c r="F11" s="73">
        <v>5.0</v>
      </c>
      <c r="G11" s="69"/>
      <c r="H11" s="3"/>
    </row>
    <row r="12">
      <c r="B12" s="68" t="s">
        <v>74</v>
      </c>
      <c r="C12" s="69" t="s">
        <v>100</v>
      </c>
      <c r="D12" s="70">
        <v>5.0</v>
      </c>
      <c r="E12" s="73" t="s">
        <v>238</v>
      </c>
      <c r="F12" s="73">
        <v>5.0</v>
      </c>
      <c r="G12" s="69"/>
      <c r="H12" s="3"/>
    </row>
    <row r="13">
      <c r="B13" s="68" t="s">
        <v>74</v>
      </c>
      <c r="C13" s="69"/>
      <c r="D13" s="69"/>
      <c r="E13" s="78"/>
      <c r="F13" s="69"/>
      <c r="G13" s="69"/>
      <c r="H13" s="3"/>
    </row>
    <row r="14">
      <c r="B14" s="68" t="s">
        <v>105</v>
      </c>
      <c r="C14" s="69"/>
      <c r="D14" s="69"/>
      <c r="E14" s="69"/>
      <c r="F14" s="69"/>
      <c r="G14" s="69"/>
      <c r="H14" s="3"/>
    </row>
    <row r="15">
      <c r="B15" s="68" t="s">
        <v>105</v>
      </c>
      <c r="C15" s="69" t="s">
        <v>107</v>
      </c>
      <c r="D15" s="70">
        <v>34.0</v>
      </c>
      <c r="E15" s="73" t="s">
        <v>238</v>
      </c>
      <c r="F15" s="73">
        <v>34.0</v>
      </c>
      <c r="G15" s="69"/>
      <c r="H15" s="3"/>
    </row>
    <row r="16">
      <c r="B16" s="68" t="s">
        <v>105</v>
      </c>
      <c r="C16" s="69" t="s">
        <v>113</v>
      </c>
      <c r="D16" s="70">
        <v>14.0</v>
      </c>
      <c r="E16" s="71">
        <v>45293.0</v>
      </c>
      <c r="F16" s="72">
        <v>19.0</v>
      </c>
      <c r="G16" s="72">
        <v>24.0</v>
      </c>
      <c r="H16" s="3"/>
    </row>
    <row r="17">
      <c r="B17" s="68" t="s">
        <v>105</v>
      </c>
      <c r="C17" s="69" t="s">
        <v>119</v>
      </c>
      <c r="D17" s="70">
        <v>5.0</v>
      </c>
      <c r="E17" s="71">
        <v>45294.0</v>
      </c>
      <c r="F17" s="72">
        <v>10.0</v>
      </c>
      <c r="G17" s="72">
        <v>15.0</v>
      </c>
      <c r="H17" s="2">
        <v>20.0</v>
      </c>
    </row>
    <row r="18">
      <c r="B18" s="68" t="s">
        <v>105</v>
      </c>
      <c r="C18" s="69"/>
      <c r="D18" s="69"/>
      <c r="E18" s="69"/>
      <c r="F18" s="69"/>
      <c r="G18" s="69"/>
      <c r="H18" s="3"/>
    </row>
    <row r="19">
      <c r="B19" s="68" t="s">
        <v>105</v>
      </c>
      <c r="C19" s="69"/>
      <c r="D19" s="69"/>
      <c r="E19" s="69"/>
      <c r="F19" s="69"/>
      <c r="G19" s="69"/>
      <c r="H19" s="3"/>
    </row>
    <row r="20">
      <c r="B20" s="68" t="s">
        <v>135</v>
      </c>
      <c r="C20" s="69"/>
      <c r="D20" s="70"/>
      <c r="E20" s="69"/>
      <c r="F20" s="73"/>
      <c r="G20" s="69"/>
      <c r="H20" s="3"/>
    </row>
    <row r="21">
      <c r="B21" s="68" t="s">
        <v>135</v>
      </c>
      <c r="C21" s="69"/>
      <c r="D21" s="70"/>
      <c r="E21" s="69"/>
      <c r="F21" s="69"/>
      <c r="G21" s="69"/>
      <c r="H21" s="3"/>
    </row>
    <row r="22">
      <c r="B22" s="68" t="s">
        <v>146</v>
      </c>
      <c r="C22" s="69"/>
      <c r="D22" s="69"/>
      <c r="E22" s="69"/>
      <c r="F22" s="69"/>
      <c r="G22" s="69"/>
      <c r="H22" s="3"/>
    </row>
    <row r="23">
      <c r="B23" s="68" t="s">
        <v>146</v>
      </c>
      <c r="C23" s="69"/>
      <c r="D23" s="69"/>
      <c r="E23" s="69"/>
      <c r="F23" s="69"/>
      <c r="G23" s="69"/>
      <c r="H23" s="3"/>
    </row>
    <row r="24">
      <c r="B24" s="68" t="s">
        <v>153</v>
      </c>
      <c r="C24" s="69" t="s">
        <v>155</v>
      </c>
      <c r="D24" s="70">
        <v>1.0</v>
      </c>
      <c r="E24" s="73" t="s">
        <v>238</v>
      </c>
      <c r="F24" s="73">
        <v>1.0</v>
      </c>
      <c r="G24" s="69"/>
      <c r="H24" s="3"/>
    </row>
    <row r="25">
      <c r="B25" s="68" t="s">
        <v>153</v>
      </c>
      <c r="C25" s="69"/>
      <c r="D25" s="69"/>
      <c r="E25" s="69"/>
      <c r="F25" s="69"/>
      <c r="G25" s="69"/>
      <c r="H25" s="3"/>
    </row>
    <row r="26">
      <c r="B26" s="68" t="s">
        <v>239</v>
      </c>
      <c r="C26" s="69"/>
      <c r="D26" s="69"/>
      <c r="E26" s="69"/>
      <c r="F26" s="69"/>
      <c r="G26" s="69"/>
      <c r="H26" s="3"/>
    </row>
    <row r="27">
      <c r="B27" s="66"/>
      <c r="C27" s="66"/>
      <c r="D27" s="66"/>
      <c r="E27" s="66"/>
      <c r="F27" s="66"/>
      <c r="G27" s="66"/>
    </row>
    <row r="28">
      <c r="B28" s="66"/>
      <c r="C28" s="66"/>
      <c r="D28" s="66"/>
      <c r="E28" s="68" t="s">
        <v>240</v>
      </c>
      <c r="F28" s="68">
        <f t="shared" ref="F28:G28" si="1">SUM(F1:F26)</f>
        <v>150</v>
      </c>
      <c r="G28" s="68">
        <f t="shared" si="1"/>
        <v>75</v>
      </c>
    </row>
    <row r="29">
      <c r="B29" s="66"/>
      <c r="C29" s="66"/>
      <c r="D29" s="66"/>
      <c r="E29" s="68" t="s">
        <v>241</v>
      </c>
      <c r="F29" s="68">
        <v>200.0</v>
      </c>
      <c r="G29" s="68">
        <v>200.0</v>
      </c>
    </row>
    <row r="30">
      <c r="B30" s="66"/>
      <c r="C30" s="66"/>
      <c r="D30" s="66"/>
      <c r="E30" s="76" t="s">
        <v>242</v>
      </c>
      <c r="F30" s="76">
        <f t="shared" ref="F30:G30" si="2">F29-F28</f>
        <v>50</v>
      </c>
      <c r="G30" s="76">
        <f t="shared" si="2"/>
        <v>125</v>
      </c>
    </row>
    <row r="32">
      <c r="C32" s="1" t="s">
        <v>249</v>
      </c>
      <c r="D32" s="1">
        <v>45.0</v>
      </c>
    </row>
    <row r="33">
      <c r="C33" s="1" t="s">
        <v>250</v>
      </c>
      <c r="D33" s="1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5.13"/>
  </cols>
  <sheetData>
    <row r="2">
      <c r="A2" s="1" t="s">
        <v>233</v>
      </c>
      <c r="B2" s="66"/>
      <c r="C2" s="66" t="s">
        <v>54</v>
      </c>
      <c r="D2" s="66"/>
      <c r="E2" s="66"/>
      <c r="F2" s="66"/>
      <c r="G2" s="66"/>
    </row>
    <row r="3">
      <c r="B3" s="66"/>
      <c r="C3" s="67" t="s">
        <v>4</v>
      </c>
      <c r="D3" s="67" t="s">
        <v>234</v>
      </c>
      <c r="E3" s="67" t="s">
        <v>235</v>
      </c>
      <c r="F3" s="67" t="s">
        <v>236</v>
      </c>
      <c r="G3" s="67" t="s">
        <v>237</v>
      </c>
      <c r="H3" s="77" t="s">
        <v>248</v>
      </c>
    </row>
    <row r="4">
      <c r="B4" s="68" t="s">
        <v>62</v>
      </c>
      <c r="C4" s="69" t="s">
        <v>251</v>
      </c>
      <c r="D4" s="70">
        <v>6.0</v>
      </c>
      <c r="E4" s="73" t="s">
        <v>238</v>
      </c>
      <c r="F4" s="73">
        <v>6.0</v>
      </c>
      <c r="G4" s="69"/>
      <c r="H4" s="3"/>
    </row>
    <row r="5">
      <c r="B5" s="68" t="s">
        <v>62</v>
      </c>
      <c r="C5" s="69" t="s">
        <v>162</v>
      </c>
      <c r="D5" s="70">
        <v>6.0</v>
      </c>
      <c r="E5" s="74">
        <v>45325.0</v>
      </c>
      <c r="F5" s="73">
        <v>11.0</v>
      </c>
      <c r="G5" s="73">
        <v>16.0</v>
      </c>
      <c r="H5" s="3"/>
    </row>
    <row r="6">
      <c r="B6" s="68" t="s">
        <v>62</v>
      </c>
      <c r="C6" s="72" t="s">
        <v>169</v>
      </c>
      <c r="D6" s="70">
        <v>2.0</v>
      </c>
      <c r="E6" s="73" t="s">
        <v>238</v>
      </c>
      <c r="F6" s="72">
        <v>2.0</v>
      </c>
      <c r="G6" s="69"/>
      <c r="H6" s="3"/>
    </row>
    <row r="7">
      <c r="B7" s="68" t="s">
        <v>74</v>
      </c>
      <c r="C7" s="69" t="s">
        <v>77</v>
      </c>
      <c r="D7" s="70">
        <v>6.0</v>
      </c>
      <c r="E7" s="71">
        <v>45293.0</v>
      </c>
      <c r="F7" s="72">
        <v>11.0</v>
      </c>
      <c r="G7" s="72">
        <v>16.0</v>
      </c>
      <c r="H7" s="3"/>
    </row>
    <row r="8">
      <c r="B8" s="68" t="s">
        <v>74</v>
      </c>
      <c r="C8" s="69" t="s">
        <v>177</v>
      </c>
      <c r="D8" s="70">
        <v>5.0</v>
      </c>
      <c r="E8" s="74">
        <v>45325.0</v>
      </c>
      <c r="F8" s="73">
        <v>10.0</v>
      </c>
      <c r="G8" s="73">
        <v>15.0</v>
      </c>
      <c r="H8" s="3"/>
    </row>
    <row r="9">
      <c r="B9" s="68" t="s">
        <v>74</v>
      </c>
      <c r="C9" s="69" t="s">
        <v>163</v>
      </c>
      <c r="D9" s="70">
        <v>5.0</v>
      </c>
      <c r="E9" s="73" t="s">
        <v>238</v>
      </c>
      <c r="F9" s="73">
        <v>5.0</v>
      </c>
      <c r="G9" s="69"/>
      <c r="H9" s="3"/>
    </row>
    <row r="10">
      <c r="B10" s="68" t="s">
        <v>74</v>
      </c>
      <c r="C10" s="69" t="s">
        <v>95</v>
      </c>
      <c r="D10" s="70">
        <v>2.0</v>
      </c>
      <c r="E10" s="73" t="s">
        <v>238</v>
      </c>
      <c r="F10" s="73">
        <v>2.0</v>
      </c>
      <c r="G10" s="69"/>
      <c r="H10" s="3"/>
    </row>
    <row r="11">
      <c r="B11" s="79" t="s">
        <v>74</v>
      </c>
      <c r="C11" s="69"/>
      <c r="D11" s="70"/>
      <c r="E11" s="73"/>
      <c r="F11" s="73"/>
      <c r="G11" s="69"/>
      <c r="H11" s="3"/>
    </row>
    <row r="12">
      <c r="B12" s="79" t="s">
        <v>74</v>
      </c>
      <c r="C12" s="69"/>
      <c r="D12" s="70"/>
      <c r="E12" s="73"/>
      <c r="F12" s="73"/>
      <c r="G12" s="69"/>
      <c r="H12" s="3"/>
    </row>
    <row r="13">
      <c r="B13" s="68" t="s">
        <v>105</v>
      </c>
      <c r="C13" s="69"/>
      <c r="D13" s="70"/>
      <c r="E13" s="73"/>
      <c r="F13" s="73"/>
      <c r="G13" s="69"/>
      <c r="H13" s="3"/>
    </row>
    <row r="14">
      <c r="B14" s="68" t="s">
        <v>105</v>
      </c>
      <c r="C14" s="69" t="s">
        <v>108</v>
      </c>
      <c r="D14" s="70">
        <v>19.0</v>
      </c>
      <c r="E14" s="73" t="s">
        <v>238</v>
      </c>
      <c r="F14" s="73">
        <v>19.0</v>
      </c>
      <c r="G14" s="69"/>
      <c r="H14" s="3"/>
    </row>
    <row r="15">
      <c r="B15" s="68" t="s">
        <v>105</v>
      </c>
      <c r="C15" s="69" t="s">
        <v>114</v>
      </c>
      <c r="D15" s="70">
        <v>7.0</v>
      </c>
      <c r="E15" s="71">
        <v>45294.0</v>
      </c>
      <c r="F15" s="72">
        <v>12.0</v>
      </c>
      <c r="G15" s="72">
        <v>17.0</v>
      </c>
      <c r="H15" s="2">
        <v>22.0</v>
      </c>
    </row>
    <row r="16">
      <c r="B16" s="68" t="s">
        <v>105</v>
      </c>
      <c r="C16" s="69"/>
      <c r="D16" s="70"/>
      <c r="E16" s="72"/>
      <c r="F16" s="72"/>
      <c r="G16" s="69"/>
      <c r="H16" s="3"/>
    </row>
    <row r="17">
      <c r="B17" s="68" t="s">
        <v>105</v>
      </c>
      <c r="C17" s="69" t="s">
        <v>252</v>
      </c>
      <c r="D17" s="70">
        <v>3.0</v>
      </c>
      <c r="E17" s="73" t="s">
        <v>238</v>
      </c>
      <c r="F17" s="73">
        <v>3.0</v>
      </c>
      <c r="G17" s="69"/>
      <c r="H17" s="3"/>
    </row>
    <row r="18">
      <c r="B18" s="68" t="s">
        <v>105</v>
      </c>
      <c r="C18" s="69" t="s">
        <v>125</v>
      </c>
      <c r="D18" s="70">
        <v>2.0</v>
      </c>
      <c r="E18" s="73" t="s">
        <v>238</v>
      </c>
      <c r="F18" s="73">
        <v>2.0</v>
      </c>
      <c r="G18" s="69"/>
      <c r="H18" s="3"/>
    </row>
    <row r="19">
      <c r="B19" s="68" t="s">
        <v>135</v>
      </c>
      <c r="C19" s="69" t="s">
        <v>138</v>
      </c>
      <c r="D19" s="70">
        <v>15.0</v>
      </c>
      <c r="E19" s="73" t="s">
        <v>238</v>
      </c>
      <c r="F19" s="73">
        <v>15.0</v>
      </c>
      <c r="G19" s="69"/>
      <c r="H19" s="3"/>
    </row>
    <row r="20">
      <c r="B20" s="68" t="s">
        <v>135</v>
      </c>
      <c r="C20" s="69"/>
      <c r="D20" s="69"/>
      <c r="E20" s="69"/>
      <c r="F20" s="69"/>
      <c r="G20" s="69"/>
      <c r="H20" s="3"/>
    </row>
    <row r="21">
      <c r="B21" s="68" t="s">
        <v>146</v>
      </c>
      <c r="C21" s="69" t="s">
        <v>149</v>
      </c>
      <c r="D21" s="70">
        <v>3.0</v>
      </c>
      <c r="E21" s="73" t="s">
        <v>238</v>
      </c>
      <c r="F21" s="73">
        <v>3.0</v>
      </c>
      <c r="G21" s="69"/>
      <c r="H21" s="3"/>
    </row>
    <row r="22">
      <c r="B22" s="68" t="s">
        <v>146</v>
      </c>
      <c r="C22" s="69"/>
      <c r="D22" s="69"/>
      <c r="E22" s="69"/>
      <c r="F22" s="69"/>
      <c r="G22" s="69"/>
      <c r="H22" s="3"/>
    </row>
    <row r="23">
      <c r="B23" s="68" t="s">
        <v>153</v>
      </c>
      <c r="C23" s="69" t="s">
        <v>156</v>
      </c>
      <c r="D23" s="70">
        <v>1.0</v>
      </c>
      <c r="E23" s="73" t="s">
        <v>238</v>
      </c>
      <c r="F23" s="73">
        <v>1.0</v>
      </c>
      <c r="G23" s="69"/>
      <c r="H23" s="3"/>
    </row>
    <row r="24">
      <c r="B24" s="68" t="s">
        <v>153</v>
      </c>
      <c r="C24" s="69"/>
      <c r="D24" s="69"/>
      <c r="E24" s="69"/>
      <c r="F24" s="69"/>
      <c r="G24" s="69"/>
      <c r="H24" s="3"/>
    </row>
    <row r="25">
      <c r="B25" s="68" t="s">
        <v>239</v>
      </c>
      <c r="C25" s="69"/>
      <c r="D25" s="69"/>
      <c r="E25" s="72"/>
      <c r="F25" s="69"/>
      <c r="G25" s="69"/>
      <c r="H25" s="3"/>
    </row>
    <row r="26">
      <c r="B26" s="66"/>
      <c r="C26" s="66"/>
      <c r="D26" s="66"/>
      <c r="E26" s="66"/>
      <c r="F26" s="66"/>
      <c r="G26" s="66"/>
    </row>
    <row r="27">
      <c r="B27" s="66"/>
      <c r="C27" s="66"/>
      <c r="D27" s="66"/>
      <c r="E27" s="68" t="s">
        <v>240</v>
      </c>
      <c r="F27" s="68">
        <f t="shared" ref="F27:H27" si="1">SUM(F3:F25)</f>
        <v>102</v>
      </c>
      <c r="G27" s="68">
        <f t="shared" si="1"/>
        <v>64</v>
      </c>
      <c r="H27" s="68">
        <f t="shared" si="1"/>
        <v>22</v>
      </c>
    </row>
    <row r="28">
      <c r="B28" s="66"/>
      <c r="C28" s="66"/>
      <c r="D28" s="66"/>
      <c r="E28" s="68" t="s">
        <v>241</v>
      </c>
      <c r="F28" s="68">
        <v>200.0</v>
      </c>
      <c r="G28" s="68">
        <v>200.0</v>
      </c>
      <c r="H28" s="68">
        <v>200.0</v>
      </c>
    </row>
    <row r="29">
      <c r="B29" s="66"/>
      <c r="C29" s="66"/>
      <c r="D29" s="66"/>
      <c r="E29" s="76" t="s">
        <v>242</v>
      </c>
      <c r="F29" s="76">
        <f t="shared" ref="F29:H29" si="2">F28-F27</f>
        <v>98</v>
      </c>
      <c r="G29" s="76">
        <f t="shared" si="2"/>
        <v>136</v>
      </c>
      <c r="H29" s="76">
        <f t="shared" si="2"/>
        <v>178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5.13"/>
  </cols>
  <sheetData>
    <row r="2">
      <c r="B2" s="66"/>
      <c r="C2" s="66" t="s">
        <v>55</v>
      </c>
      <c r="D2" s="66"/>
      <c r="E2" s="66"/>
      <c r="F2" s="66"/>
      <c r="G2" s="66"/>
    </row>
    <row r="3">
      <c r="B3" s="66"/>
      <c r="C3" s="80" t="s">
        <v>4</v>
      </c>
      <c r="D3" s="80" t="s">
        <v>234</v>
      </c>
      <c r="E3" s="80" t="s">
        <v>235</v>
      </c>
      <c r="F3" s="80" t="s">
        <v>236</v>
      </c>
      <c r="G3" s="80" t="s">
        <v>237</v>
      </c>
    </row>
    <row r="4">
      <c r="B4" s="81" t="s">
        <v>62</v>
      </c>
      <c r="C4" s="69" t="s">
        <v>66</v>
      </c>
      <c r="D4" s="70">
        <v>1.0</v>
      </c>
      <c r="E4" s="73" t="s">
        <v>238</v>
      </c>
      <c r="F4" s="73">
        <v>1.0</v>
      </c>
      <c r="G4" s="69"/>
    </row>
    <row r="5">
      <c r="B5" s="81" t="s">
        <v>62</v>
      </c>
      <c r="C5" s="69"/>
      <c r="D5" s="70"/>
      <c r="E5" s="73"/>
      <c r="F5" s="73"/>
      <c r="G5" s="69"/>
    </row>
    <row r="6">
      <c r="B6" s="81" t="s">
        <v>62</v>
      </c>
      <c r="C6" s="69"/>
      <c r="D6" s="70"/>
      <c r="E6" s="73"/>
      <c r="F6" s="73"/>
      <c r="G6" s="69"/>
    </row>
    <row r="7">
      <c r="B7" s="81" t="s">
        <v>74</v>
      </c>
      <c r="C7" s="69" t="s">
        <v>78</v>
      </c>
      <c r="D7" s="70">
        <v>6.0</v>
      </c>
      <c r="E7" s="74">
        <v>45324.0</v>
      </c>
      <c r="F7" s="73">
        <v>11.0</v>
      </c>
      <c r="G7" s="69"/>
    </row>
    <row r="8">
      <c r="B8" s="81" t="s">
        <v>74</v>
      </c>
      <c r="C8" s="69" t="s">
        <v>84</v>
      </c>
      <c r="D8" s="70">
        <v>3.0</v>
      </c>
      <c r="E8" s="71">
        <v>45293.0</v>
      </c>
      <c r="F8" s="72">
        <v>8.0</v>
      </c>
      <c r="G8" s="72">
        <v>13.0</v>
      </c>
    </row>
    <row r="9">
      <c r="B9" s="81" t="s">
        <v>74</v>
      </c>
      <c r="C9" s="69" t="s">
        <v>90</v>
      </c>
      <c r="D9" s="70">
        <v>1.0</v>
      </c>
      <c r="E9" s="73" t="s">
        <v>238</v>
      </c>
      <c r="F9" s="72">
        <v>1.0</v>
      </c>
      <c r="G9" s="69"/>
    </row>
    <row r="10">
      <c r="B10" s="81" t="s">
        <v>74</v>
      </c>
      <c r="C10" s="69"/>
      <c r="D10" s="70"/>
      <c r="E10" s="73"/>
      <c r="F10" s="69"/>
      <c r="G10" s="69"/>
    </row>
    <row r="11">
      <c r="B11" s="81" t="s">
        <v>74</v>
      </c>
      <c r="C11" s="69"/>
      <c r="D11" s="70"/>
      <c r="E11" s="73"/>
      <c r="F11" s="69"/>
      <c r="G11" s="69"/>
    </row>
    <row r="12">
      <c r="B12" s="81" t="s">
        <v>74</v>
      </c>
      <c r="C12" s="69"/>
      <c r="D12" s="70"/>
      <c r="E12" s="73"/>
      <c r="F12" s="69"/>
      <c r="G12" s="69"/>
    </row>
    <row r="13">
      <c r="B13" s="81" t="s">
        <v>105</v>
      </c>
      <c r="C13" s="69" t="s">
        <v>109</v>
      </c>
      <c r="D13" s="70">
        <v>20.0</v>
      </c>
      <c r="E13" s="74">
        <v>45325.0</v>
      </c>
      <c r="F13" s="73">
        <v>25.0</v>
      </c>
      <c r="G13" s="73">
        <v>30.0</v>
      </c>
    </row>
    <row r="14">
      <c r="B14" s="81" t="s">
        <v>105</v>
      </c>
      <c r="C14" s="69" t="s">
        <v>115</v>
      </c>
      <c r="D14" s="70">
        <v>18.0</v>
      </c>
      <c r="E14" s="73" t="s">
        <v>238</v>
      </c>
      <c r="F14" s="73">
        <v>18.0</v>
      </c>
      <c r="G14" s="69"/>
    </row>
    <row r="15">
      <c r="B15" s="81" t="s">
        <v>105</v>
      </c>
      <c r="C15" s="69" t="s">
        <v>121</v>
      </c>
      <c r="D15" s="70">
        <v>10.0</v>
      </c>
      <c r="E15" s="71">
        <v>45293.0</v>
      </c>
      <c r="F15" s="72">
        <v>15.0</v>
      </c>
      <c r="G15" s="72">
        <v>20.0</v>
      </c>
    </row>
    <row r="16">
      <c r="B16" s="81" t="s">
        <v>105</v>
      </c>
      <c r="C16" s="69" t="s">
        <v>126</v>
      </c>
      <c r="D16" s="70">
        <v>5.0</v>
      </c>
      <c r="E16" s="74">
        <v>45324.0</v>
      </c>
      <c r="F16" s="73">
        <v>10.0</v>
      </c>
      <c r="G16" s="69"/>
    </row>
    <row r="17">
      <c r="B17" s="81" t="s">
        <v>105</v>
      </c>
      <c r="C17" s="69"/>
      <c r="D17" s="70"/>
      <c r="E17" s="74"/>
      <c r="F17" s="73"/>
      <c r="G17" s="69"/>
    </row>
    <row r="18">
      <c r="B18" s="81" t="s">
        <v>105</v>
      </c>
      <c r="C18" s="69"/>
      <c r="D18" s="70"/>
      <c r="E18" s="74"/>
      <c r="F18" s="73"/>
      <c r="G18" s="69"/>
    </row>
    <row r="19">
      <c r="B19" s="81" t="s">
        <v>135</v>
      </c>
      <c r="C19" s="69" t="s">
        <v>139</v>
      </c>
      <c r="D19" s="70">
        <v>1.0</v>
      </c>
      <c r="E19" s="73" t="s">
        <v>238</v>
      </c>
      <c r="F19" s="73">
        <v>1.0</v>
      </c>
      <c r="G19" s="69"/>
    </row>
    <row r="20">
      <c r="B20" s="81" t="s">
        <v>135</v>
      </c>
      <c r="C20" s="69"/>
      <c r="D20" s="70"/>
      <c r="E20" s="73"/>
      <c r="F20" s="69"/>
      <c r="G20" s="69"/>
    </row>
    <row r="21">
      <c r="B21" s="81" t="s">
        <v>135</v>
      </c>
      <c r="C21" s="69"/>
      <c r="D21" s="70"/>
      <c r="E21" s="73"/>
      <c r="F21" s="73"/>
      <c r="G21" s="69"/>
    </row>
    <row r="22">
      <c r="B22" s="81" t="s">
        <v>146</v>
      </c>
      <c r="C22" s="69" t="s">
        <v>150</v>
      </c>
      <c r="D22" s="70">
        <v>1.0</v>
      </c>
      <c r="E22" s="73" t="s">
        <v>238</v>
      </c>
      <c r="F22" s="73">
        <v>1.0</v>
      </c>
      <c r="G22" s="69"/>
    </row>
    <row r="23">
      <c r="B23" s="81" t="s">
        <v>146</v>
      </c>
      <c r="C23" s="69"/>
      <c r="D23" s="69"/>
      <c r="E23" s="69"/>
      <c r="F23" s="69"/>
      <c r="G23" s="69"/>
    </row>
    <row r="24">
      <c r="B24" s="81" t="s">
        <v>153</v>
      </c>
      <c r="C24" s="69" t="s">
        <v>157</v>
      </c>
      <c r="D24" s="70">
        <v>1.0</v>
      </c>
      <c r="E24" s="73" t="s">
        <v>238</v>
      </c>
      <c r="F24" s="73">
        <v>1.0</v>
      </c>
      <c r="G24" s="69"/>
    </row>
    <row r="25">
      <c r="B25" s="81" t="s">
        <v>153</v>
      </c>
      <c r="C25" s="69"/>
      <c r="D25" s="69"/>
      <c r="E25" s="69"/>
      <c r="F25" s="69"/>
      <c r="G25" s="69"/>
    </row>
    <row r="26">
      <c r="B26" s="81" t="s">
        <v>239</v>
      </c>
      <c r="C26" s="69"/>
      <c r="D26" s="69"/>
      <c r="E26" s="69"/>
      <c r="F26" s="69"/>
      <c r="G26" s="69"/>
    </row>
    <row r="27">
      <c r="B27" s="66"/>
      <c r="C27" s="66"/>
      <c r="D27" s="66"/>
      <c r="E27" s="66"/>
      <c r="F27" s="66"/>
      <c r="G27" s="66"/>
    </row>
    <row r="28">
      <c r="B28" s="66"/>
      <c r="C28" s="66"/>
      <c r="D28" s="66"/>
      <c r="E28" s="68" t="s">
        <v>240</v>
      </c>
      <c r="F28" s="68">
        <f t="shared" ref="F28:G28" si="1">SUM(F2:F26)</f>
        <v>92</v>
      </c>
      <c r="G28" s="68">
        <f t="shared" si="1"/>
        <v>63</v>
      </c>
    </row>
    <row r="29">
      <c r="B29" s="66"/>
      <c r="C29" s="66"/>
      <c r="D29" s="66"/>
      <c r="E29" s="68" t="s">
        <v>241</v>
      </c>
      <c r="F29" s="68">
        <v>200.0</v>
      </c>
      <c r="G29" s="68">
        <v>200.0</v>
      </c>
    </row>
    <row r="30">
      <c r="B30" s="66"/>
      <c r="C30" s="66"/>
      <c r="D30" s="66"/>
      <c r="E30" s="76" t="s">
        <v>242</v>
      </c>
      <c r="F30" s="76">
        <f t="shared" ref="F30:G30" si="2">F29-F28</f>
        <v>108</v>
      </c>
      <c r="G30" s="76">
        <f t="shared" si="2"/>
        <v>137</v>
      </c>
    </row>
    <row r="32">
      <c r="C32" s="1" t="s">
        <v>253</v>
      </c>
      <c r="D32" s="1">
        <v>32.0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5.13"/>
  </cols>
  <sheetData>
    <row r="2">
      <c r="A2" s="1" t="s">
        <v>233</v>
      </c>
      <c r="B2" s="66"/>
      <c r="C2" s="66"/>
      <c r="D2" s="66"/>
      <c r="E2" s="66"/>
      <c r="F2" s="66"/>
      <c r="G2" s="66"/>
    </row>
    <row r="3">
      <c r="B3" s="66"/>
      <c r="C3" s="66" t="s">
        <v>28</v>
      </c>
      <c r="D3" s="66"/>
      <c r="E3" s="66"/>
      <c r="F3" s="66"/>
      <c r="G3" s="66"/>
    </row>
    <row r="4">
      <c r="B4" s="66"/>
      <c r="C4" s="67" t="s">
        <v>4</v>
      </c>
      <c r="D4" s="67" t="s">
        <v>234</v>
      </c>
      <c r="E4" s="67" t="s">
        <v>235</v>
      </c>
      <c r="F4" s="67" t="s">
        <v>236</v>
      </c>
      <c r="G4" s="67" t="s">
        <v>237</v>
      </c>
    </row>
    <row r="5">
      <c r="B5" s="68" t="s">
        <v>62</v>
      </c>
      <c r="C5" s="69" t="s">
        <v>67</v>
      </c>
      <c r="D5" s="70">
        <v>5.0</v>
      </c>
      <c r="E5" s="74">
        <v>45324.0</v>
      </c>
      <c r="F5" s="73">
        <v>10.0</v>
      </c>
      <c r="G5" s="69"/>
    </row>
    <row r="6">
      <c r="B6" s="68" t="s">
        <v>62</v>
      </c>
      <c r="C6" s="69" t="s">
        <v>72</v>
      </c>
      <c r="D6" s="70">
        <v>3.0</v>
      </c>
      <c r="E6" s="73" t="s">
        <v>238</v>
      </c>
      <c r="F6" s="73">
        <v>3.0</v>
      </c>
      <c r="G6" s="69"/>
    </row>
    <row r="7">
      <c r="B7" s="68" t="s">
        <v>62</v>
      </c>
      <c r="C7" s="69"/>
      <c r="D7" s="69"/>
      <c r="E7" s="69"/>
      <c r="F7" s="69"/>
      <c r="G7" s="69"/>
    </row>
    <row r="8">
      <c r="B8" s="68" t="s">
        <v>74</v>
      </c>
      <c r="C8" s="69" t="s">
        <v>79</v>
      </c>
      <c r="D8" s="70">
        <v>14.0</v>
      </c>
      <c r="E8" s="73" t="s">
        <v>238</v>
      </c>
      <c r="F8" s="73">
        <v>14.0</v>
      </c>
      <c r="G8" s="69"/>
    </row>
    <row r="9">
      <c r="B9" s="68" t="s">
        <v>74</v>
      </c>
      <c r="C9" s="69" t="s">
        <v>85</v>
      </c>
      <c r="D9" s="70">
        <v>10.0</v>
      </c>
      <c r="E9" s="71">
        <v>45292.0</v>
      </c>
      <c r="F9" s="72">
        <v>15.0</v>
      </c>
      <c r="G9" s="69"/>
    </row>
    <row r="10">
      <c r="B10" s="68" t="s">
        <v>74</v>
      </c>
      <c r="C10" s="69"/>
      <c r="D10" s="69"/>
      <c r="E10" s="69"/>
      <c r="F10" s="69"/>
      <c r="G10" s="69"/>
    </row>
    <row r="11">
      <c r="B11" s="68" t="s">
        <v>74</v>
      </c>
      <c r="C11" s="69"/>
      <c r="D11" s="69"/>
      <c r="E11" s="69"/>
      <c r="F11" s="69"/>
      <c r="G11" s="69"/>
    </row>
    <row r="12">
      <c r="B12" s="68" t="s">
        <v>74</v>
      </c>
      <c r="C12" s="69"/>
      <c r="D12" s="69"/>
      <c r="E12" s="69"/>
      <c r="F12" s="69"/>
      <c r="G12" s="69"/>
    </row>
    <row r="13">
      <c r="B13" s="68" t="s">
        <v>74</v>
      </c>
      <c r="C13" s="69"/>
      <c r="D13" s="69"/>
      <c r="E13" s="69"/>
      <c r="F13" s="69"/>
      <c r="G13" s="69"/>
    </row>
    <row r="14">
      <c r="B14" s="68" t="s">
        <v>105</v>
      </c>
      <c r="C14" s="69" t="s">
        <v>110</v>
      </c>
      <c r="D14" s="70">
        <v>14.0</v>
      </c>
      <c r="E14" s="73" t="s">
        <v>238</v>
      </c>
      <c r="F14" s="73">
        <v>14.0</v>
      </c>
      <c r="G14" s="69"/>
    </row>
    <row r="15">
      <c r="B15" s="68" t="s">
        <v>105</v>
      </c>
      <c r="C15" s="69" t="s">
        <v>116</v>
      </c>
      <c r="D15" s="70">
        <v>14.0</v>
      </c>
      <c r="E15" s="73" t="s">
        <v>238</v>
      </c>
      <c r="F15" s="73">
        <v>14.0</v>
      </c>
      <c r="G15" s="69"/>
    </row>
    <row r="16">
      <c r="B16" s="68" t="s">
        <v>105</v>
      </c>
      <c r="C16" s="69"/>
      <c r="D16" s="69"/>
      <c r="E16" s="69"/>
      <c r="F16" s="69"/>
      <c r="G16" s="69"/>
    </row>
    <row r="17">
      <c r="B17" s="68" t="s">
        <v>105</v>
      </c>
      <c r="C17" s="69" t="s">
        <v>122</v>
      </c>
      <c r="D17" s="70">
        <v>5.0</v>
      </c>
      <c r="E17" s="73" t="s">
        <v>238</v>
      </c>
      <c r="F17" s="73">
        <v>5.0</v>
      </c>
      <c r="G17" s="69"/>
    </row>
    <row r="18">
      <c r="B18" s="68" t="s">
        <v>105</v>
      </c>
      <c r="C18" s="69"/>
      <c r="D18" s="69"/>
      <c r="E18" s="69"/>
      <c r="F18" s="69"/>
      <c r="G18" s="69"/>
    </row>
    <row r="19">
      <c r="B19" s="68" t="s">
        <v>105</v>
      </c>
      <c r="C19" s="69"/>
      <c r="D19" s="69"/>
      <c r="E19" s="69"/>
      <c r="F19" s="69"/>
      <c r="G19" s="69"/>
    </row>
    <row r="20">
      <c r="B20" s="68" t="s">
        <v>135</v>
      </c>
      <c r="C20" s="69" t="s">
        <v>140</v>
      </c>
      <c r="D20" s="70">
        <v>3.0</v>
      </c>
      <c r="E20" s="73" t="s">
        <v>238</v>
      </c>
      <c r="F20" s="73">
        <v>3.0</v>
      </c>
      <c r="G20" s="69"/>
    </row>
    <row r="21">
      <c r="B21" s="68" t="s">
        <v>135</v>
      </c>
      <c r="C21" s="69"/>
      <c r="D21" s="69"/>
      <c r="E21" s="69"/>
      <c r="F21" s="69"/>
      <c r="G21" s="69"/>
    </row>
    <row r="22">
      <c r="B22" s="68" t="s">
        <v>135</v>
      </c>
      <c r="C22" s="69"/>
      <c r="D22" s="69"/>
      <c r="E22" s="69"/>
      <c r="F22" s="69"/>
      <c r="G22" s="69"/>
    </row>
    <row r="23">
      <c r="B23" s="68" t="s">
        <v>146</v>
      </c>
      <c r="C23" s="69"/>
      <c r="D23" s="69"/>
      <c r="E23" s="69"/>
      <c r="F23" s="69"/>
      <c r="G23" s="69"/>
    </row>
    <row r="24">
      <c r="B24" s="68" t="s">
        <v>146</v>
      </c>
      <c r="C24" s="69"/>
      <c r="D24" s="69"/>
      <c r="E24" s="69"/>
      <c r="F24" s="69"/>
      <c r="G24" s="69"/>
    </row>
    <row r="25">
      <c r="B25" s="68" t="s">
        <v>153</v>
      </c>
      <c r="C25" s="69" t="s">
        <v>158</v>
      </c>
      <c r="D25" s="70">
        <v>3.0</v>
      </c>
      <c r="E25" s="73" t="s">
        <v>238</v>
      </c>
      <c r="F25" s="73">
        <v>3.0</v>
      </c>
      <c r="G25" s="69"/>
    </row>
    <row r="26">
      <c r="B26" s="68" t="s">
        <v>153</v>
      </c>
      <c r="C26" s="69"/>
      <c r="D26" s="69"/>
      <c r="E26" s="69"/>
      <c r="F26" s="69"/>
      <c r="G26" s="69"/>
    </row>
    <row r="27">
      <c r="B27" s="68" t="s">
        <v>239</v>
      </c>
      <c r="C27" s="69"/>
      <c r="D27" s="69"/>
      <c r="E27" s="69"/>
      <c r="F27" s="69"/>
      <c r="G27" s="69"/>
    </row>
    <row r="28">
      <c r="B28" s="66"/>
      <c r="C28" s="66"/>
      <c r="D28" s="66"/>
      <c r="E28" s="66"/>
      <c r="F28" s="66"/>
      <c r="G28" s="66"/>
    </row>
    <row r="29">
      <c r="B29" s="66"/>
      <c r="C29" s="66"/>
      <c r="D29" s="66"/>
      <c r="E29" s="68" t="s">
        <v>240</v>
      </c>
      <c r="F29" s="68">
        <f t="shared" ref="F29:G29" si="1">SUM(F2:F27)</f>
        <v>81</v>
      </c>
      <c r="G29" s="68">
        <f t="shared" si="1"/>
        <v>0</v>
      </c>
    </row>
    <row r="30">
      <c r="B30" s="66"/>
      <c r="C30" s="66"/>
      <c r="D30" s="66"/>
      <c r="E30" s="68" t="s">
        <v>241</v>
      </c>
      <c r="F30" s="68">
        <v>200.0</v>
      </c>
      <c r="G30" s="68">
        <v>200.0</v>
      </c>
    </row>
    <row r="31">
      <c r="B31" s="66"/>
      <c r="C31" s="66"/>
      <c r="D31" s="66"/>
      <c r="E31" s="76" t="s">
        <v>242</v>
      </c>
      <c r="F31" s="76">
        <f t="shared" ref="F31:G31" si="2">F30-F29</f>
        <v>119</v>
      </c>
      <c r="G31" s="76">
        <f t="shared" si="2"/>
        <v>200</v>
      </c>
    </row>
    <row r="33">
      <c r="C33" s="82" t="s">
        <v>254</v>
      </c>
      <c r="D33" s="82">
        <v>44.0</v>
      </c>
    </row>
    <row r="34">
      <c r="C34" s="82" t="s">
        <v>255</v>
      </c>
      <c r="D34" s="82">
        <v>33.0</v>
      </c>
    </row>
    <row r="35">
      <c r="C35" s="82" t="s">
        <v>256</v>
      </c>
      <c r="D35" s="82">
        <v>31.0</v>
      </c>
    </row>
    <row r="36">
      <c r="C36" s="82" t="s">
        <v>257</v>
      </c>
      <c r="D36" s="82">
        <v>20.0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5.13"/>
  </cols>
  <sheetData>
    <row r="2">
      <c r="A2" s="1" t="s">
        <v>233</v>
      </c>
      <c r="B2" s="66"/>
      <c r="C2" s="66" t="s">
        <v>168</v>
      </c>
      <c r="D2" s="66"/>
      <c r="E2" s="66"/>
      <c r="F2" s="66"/>
      <c r="G2" s="66"/>
    </row>
    <row r="3">
      <c r="B3" s="66"/>
      <c r="C3" s="67" t="s">
        <v>4</v>
      </c>
      <c r="D3" s="67" t="s">
        <v>234</v>
      </c>
      <c r="E3" s="67" t="s">
        <v>235</v>
      </c>
      <c r="F3" s="67" t="s">
        <v>236</v>
      </c>
      <c r="G3" s="67" t="s">
        <v>237</v>
      </c>
    </row>
    <row r="4">
      <c r="B4" s="68" t="s">
        <v>62</v>
      </c>
      <c r="C4" s="69" t="s">
        <v>65</v>
      </c>
      <c r="D4" s="70">
        <v>8.0</v>
      </c>
      <c r="E4" s="73" t="s">
        <v>238</v>
      </c>
      <c r="F4" s="73">
        <v>8.0</v>
      </c>
      <c r="G4" s="69"/>
    </row>
    <row r="5">
      <c r="B5" s="68" t="s">
        <v>62</v>
      </c>
      <c r="C5" s="69"/>
      <c r="D5" s="70"/>
      <c r="E5" s="73"/>
      <c r="F5" s="73"/>
      <c r="G5" s="69"/>
    </row>
    <row r="6">
      <c r="B6" s="68" t="s">
        <v>62</v>
      </c>
      <c r="C6" s="69"/>
      <c r="D6" s="69"/>
      <c r="E6" s="69"/>
      <c r="F6" s="69"/>
      <c r="G6" s="69"/>
    </row>
    <row r="7">
      <c r="B7" s="68" t="s">
        <v>74</v>
      </c>
      <c r="C7" s="69"/>
      <c r="D7" s="69"/>
      <c r="E7" s="69"/>
      <c r="F7" s="73"/>
      <c r="G7" s="69"/>
    </row>
    <row r="8">
      <c r="B8" s="68" t="s">
        <v>74</v>
      </c>
      <c r="C8" s="69" t="s">
        <v>258</v>
      </c>
      <c r="D8" s="70">
        <v>22.0</v>
      </c>
      <c r="E8" s="73" t="s">
        <v>238</v>
      </c>
      <c r="F8" s="73">
        <v>22.0</v>
      </c>
      <c r="G8" s="69"/>
    </row>
    <row r="9">
      <c r="B9" s="68" t="s">
        <v>74</v>
      </c>
      <c r="C9" s="69" t="s">
        <v>181</v>
      </c>
      <c r="D9" s="70">
        <v>10.0</v>
      </c>
      <c r="E9" s="73" t="s">
        <v>238</v>
      </c>
      <c r="F9" s="73">
        <v>10.0</v>
      </c>
      <c r="G9" s="69"/>
    </row>
    <row r="10">
      <c r="B10" s="68" t="s">
        <v>74</v>
      </c>
      <c r="C10" s="69"/>
      <c r="D10" s="70"/>
      <c r="E10" s="73"/>
      <c r="F10" s="72"/>
      <c r="G10" s="69"/>
    </row>
    <row r="11">
      <c r="B11" s="68" t="s">
        <v>74</v>
      </c>
      <c r="C11" s="69"/>
      <c r="D11" s="69"/>
      <c r="E11" s="69"/>
      <c r="F11" s="69"/>
      <c r="G11" s="69"/>
    </row>
    <row r="12">
      <c r="B12" s="68" t="s">
        <v>74</v>
      </c>
      <c r="C12" s="69"/>
      <c r="D12" s="70"/>
      <c r="E12" s="73"/>
      <c r="F12" s="72"/>
      <c r="G12" s="69"/>
    </row>
    <row r="13">
      <c r="B13" s="68" t="s">
        <v>105</v>
      </c>
      <c r="C13" s="69" t="s">
        <v>195</v>
      </c>
      <c r="D13" s="70">
        <v>13.0</v>
      </c>
      <c r="E13" s="73" t="s">
        <v>238</v>
      </c>
      <c r="F13" s="73">
        <v>13.0</v>
      </c>
      <c r="G13" s="69"/>
    </row>
    <row r="14">
      <c r="B14" s="68" t="s">
        <v>105</v>
      </c>
      <c r="C14" s="69" t="s">
        <v>199</v>
      </c>
      <c r="D14" s="70">
        <v>10.0</v>
      </c>
      <c r="E14" s="74">
        <v>45324.0</v>
      </c>
      <c r="F14" s="73">
        <v>15.0</v>
      </c>
      <c r="G14" s="69"/>
    </row>
    <row r="15">
      <c r="B15" s="68" t="s">
        <v>105</v>
      </c>
      <c r="C15" s="69" t="s">
        <v>203</v>
      </c>
      <c r="D15" s="70">
        <v>9.0</v>
      </c>
      <c r="E15" s="74">
        <v>45325.0</v>
      </c>
      <c r="F15" s="73">
        <v>14.0</v>
      </c>
      <c r="G15" s="69"/>
    </row>
    <row r="16">
      <c r="B16" s="68" t="s">
        <v>105</v>
      </c>
      <c r="C16" s="83" t="s">
        <v>120</v>
      </c>
      <c r="D16" s="70">
        <v>3.0</v>
      </c>
      <c r="E16" s="73" t="s">
        <v>238</v>
      </c>
      <c r="F16" s="84">
        <v>3.0</v>
      </c>
      <c r="G16" s="69"/>
    </row>
    <row r="17">
      <c r="B17" s="68" t="s">
        <v>105</v>
      </c>
      <c r="C17" s="69"/>
      <c r="D17" s="69"/>
      <c r="E17" s="69"/>
      <c r="F17" s="69"/>
      <c r="G17" s="69"/>
    </row>
    <row r="18">
      <c r="B18" s="68" t="s">
        <v>105</v>
      </c>
      <c r="C18" s="69" t="s">
        <v>210</v>
      </c>
      <c r="D18" s="70">
        <v>6.0</v>
      </c>
      <c r="E18" s="69"/>
      <c r="F18" s="72">
        <v>6.0</v>
      </c>
      <c r="G18" s="69"/>
    </row>
    <row r="19">
      <c r="B19" s="68" t="s">
        <v>135</v>
      </c>
      <c r="C19" s="85"/>
      <c r="D19" s="70"/>
      <c r="E19" s="73"/>
      <c r="F19" s="73"/>
      <c r="G19" s="69"/>
    </row>
    <row r="20">
      <c r="B20" s="68" t="s">
        <v>135</v>
      </c>
      <c r="C20" s="69" t="s">
        <v>215</v>
      </c>
      <c r="D20" s="70">
        <v>1.0</v>
      </c>
      <c r="E20" s="73" t="s">
        <v>238</v>
      </c>
      <c r="F20" s="72">
        <v>1.0</v>
      </c>
      <c r="G20" s="69"/>
    </row>
    <row r="21">
      <c r="B21" s="68" t="s">
        <v>135</v>
      </c>
      <c r="C21" s="69"/>
      <c r="D21" s="69"/>
      <c r="E21" s="69"/>
      <c r="F21" s="69"/>
      <c r="G21" s="69"/>
    </row>
    <row r="22">
      <c r="B22" s="68" t="s">
        <v>146</v>
      </c>
      <c r="C22" s="69"/>
      <c r="D22" s="69"/>
      <c r="E22" s="69"/>
      <c r="F22" s="69"/>
      <c r="G22" s="69"/>
    </row>
    <row r="23">
      <c r="B23" s="68" t="s">
        <v>146</v>
      </c>
      <c r="C23" s="69"/>
      <c r="D23" s="69"/>
      <c r="E23" s="69"/>
      <c r="F23" s="69"/>
      <c r="G23" s="69"/>
    </row>
    <row r="24">
      <c r="B24" s="68" t="s">
        <v>153</v>
      </c>
      <c r="C24" s="69"/>
      <c r="D24" s="69"/>
      <c r="E24" s="69"/>
      <c r="F24" s="73"/>
      <c r="G24" s="69"/>
    </row>
    <row r="25">
      <c r="B25" s="68" t="s">
        <v>153</v>
      </c>
      <c r="C25" s="69"/>
      <c r="D25" s="69"/>
      <c r="E25" s="69"/>
      <c r="F25" s="69"/>
      <c r="G25" s="69"/>
    </row>
    <row r="26">
      <c r="B26" s="68" t="s">
        <v>239</v>
      </c>
      <c r="C26" s="69"/>
      <c r="D26" s="69"/>
      <c r="E26" s="69"/>
      <c r="F26" s="69"/>
      <c r="G26" s="69"/>
    </row>
    <row r="27">
      <c r="B27" s="66"/>
      <c r="C27" s="66"/>
      <c r="D27" s="66"/>
      <c r="E27" s="68" t="s">
        <v>240</v>
      </c>
      <c r="F27" s="68">
        <f t="shared" ref="F27:G27" si="1">SUM(F1:F26)</f>
        <v>92</v>
      </c>
      <c r="G27" s="68">
        <f t="shared" si="1"/>
        <v>0</v>
      </c>
    </row>
    <row r="28">
      <c r="B28" s="66"/>
      <c r="C28" s="66"/>
      <c r="D28" s="66"/>
      <c r="E28" s="68" t="s">
        <v>241</v>
      </c>
      <c r="F28" s="68">
        <v>200.0</v>
      </c>
      <c r="G28" s="68">
        <v>200.0</v>
      </c>
    </row>
    <row r="29">
      <c r="B29" s="66"/>
      <c r="C29" s="66"/>
      <c r="D29" s="66"/>
      <c r="E29" s="76" t="s">
        <v>242</v>
      </c>
      <c r="F29" s="76">
        <f t="shared" ref="F29:G29" si="2">F28-F27</f>
        <v>108</v>
      </c>
      <c r="G29" s="76">
        <f t="shared" si="2"/>
        <v>200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5.13"/>
  </cols>
  <sheetData>
    <row r="2">
      <c r="A2" s="1" t="s">
        <v>233</v>
      </c>
      <c r="B2" s="66"/>
      <c r="C2" s="66" t="s">
        <v>18</v>
      </c>
      <c r="D2" s="66"/>
      <c r="E2" s="66"/>
      <c r="F2" s="66"/>
      <c r="G2" s="66"/>
    </row>
    <row r="3">
      <c r="B3" s="66"/>
      <c r="C3" s="67" t="s">
        <v>4</v>
      </c>
      <c r="D3" s="67" t="s">
        <v>234</v>
      </c>
      <c r="E3" s="67" t="s">
        <v>235</v>
      </c>
      <c r="F3" s="67" t="s">
        <v>236</v>
      </c>
      <c r="G3" s="67" t="s">
        <v>237</v>
      </c>
    </row>
    <row r="4">
      <c r="B4" s="68" t="s">
        <v>62</v>
      </c>
      <c r="C4" s="69" t="s">
        <v>170</v>
      </c>
      <c r="D4" s="70">
        <v>13.0</v>
      </c>
      <c r="E4" s="74">
        <v>45325.0</v>
      </c>
      <c r="F4" s="73">
        <v>18.0</v>
      </c>
      <c r="G4" s="69"/>
    </row>
    <row r="5">
      <c r="B5" s="68" t="s">
        <v>62</v>
      </c>
      <c r="C5" s="69" t="s">
        <v>173</v>
      </c>
      <c r="D5" s="70">
        <v>5.0</v>
      </c>
      <c r="E5" s="74">
        <v>45325.0</v>
      </c>
      <c r="F5" s="73">
        <v>10.0</v>
      </c>
      <c r="G5" s="69"/>
    </row>
    <row r="6">
      <c r="B6" s="68" t="s">
        <v>62</v>
      </c>
      <c r="C6" s="69"/>
      <c r="D6" s="69"/>
      <c r="E6" s="69"/>
      <c r="F6" s="69"/>
      <c r="G6" s="69"/>
    </row>
    <row r="7">
      <c r="B7" s="68" t="s">
        <v>74</v>
      </c>
      <c r="C7" s="69" t="s">
        <v>178</v>
      </c>
      <c r="D7" s="70">
        <v>26.0</v>
      </c>
      <c r="E7" s="73" t="s">
        <v>238</v>
      </c>
      <c r="F7" s="73">
        <v>26.0</v>
      </c>
      <c r="G7" s="69"/>
    </row>
    <row r="8">
      <c r="B8" s="68" t="s">
        <v>74</v>
      </c>
      <c r="C8" s="69" t="s">
        <v>182</v>
      </c>
      <c r="D8" s="70">
        <v>14.0</v>
      </c>
      <c r="E8" s="73" t="s">
        <v>238</v>
      </c>
      <c r="F8" s="73">
        <v>14.0</v>
      </c>
      <c r="G8" s="69"/>
    </row>
    <row r="9">
      <c r="B9" s="68" t="s">
        <v>74</v>
      </c>
      <c r="C9" s="69"/>
      <c r="D9" s="70"/>
      <c r="E9" s="73"/>
      <c r="F9" s="73"/>
      <c r="G9" s="69"/>
    </row>
    <row r="10">
      <c r="B10" s="68" t="s">
        <v>74</v>
      </c>
      <c r="C10" s="69"/>
      <c r="D10" s="69"/>
      <c r="E10" s="69"/>
      <c r="F10" s="69"/>
      <c r="G10" s="69"/>
    </row>
    <row r="11">
      <c r="B11" s="68" t="s">
        <v>74</v>
      </c>
      <c r="C11" s="69"/>
      <c r="D11" s="69"/>
      <c r="E11" s="69"/>
      <c r="F11" s="69"/>
      <c r="G11" s="69"/>
    </row>
    <row r="12">
      <c r="B12" s="68" t="s">
        <v>74</v>
      </c>
      <c r="C12" s="69"/>
      <c r="D12" s="69"/>
      <c r="E12" s="69"/>
      <c r="F12" s="69"/>
      <c r="G12" s="69"/>
    </row>
    <row r="13">
      <c r="B13" s="68" t="s">
        <v>105</v>
      </c>
      <c r="C13" s="69" t="s">
        <v>196</v>
      </c>
      <c r="D13" s="70">
        <v>28.0</v>
      </c>
      <c r="E13" s="74">
        <v>45325.0</v>
      </c>
      <c r="F13" s="73">
        <v>32.0</v>
      </c>
      <c r="G13" s="69"/>
    </row>
    <row r="14">
      <c r="B14" s="68" t="s">
        <v>105</v>
      </c>
      <c r="C14" s="69" t="s">
        <v>200</v>
      </c>
      <c r="D14" s="70">
        <v>18.0</v>
      </c>
      <c r="E14" s="73" t="s">
        <v>238</v>
      </c>
      <c r="F14" s="73">
        <v>18.0</v>
      </c>
      <c r="G14" s="69"/>
    </row>
    <row r="15">
      <c r="B15" s="68" t="s">
        <v>105</v>
      </c>
      <c r="C15" s="69" t="s">
        <v>204</v>
      </c>
      <c r="D15" s="70">
        <v>16.0</v>
      </c>
      <c r="E15" s="73" t="s">
        <v>238</v>
      </c>
      <c r="F15" s="73">
        <v>16.0</v>
      </c>
      <c r="G15" s="69"/>
    </row>
    <row r="16">
      <c r="B16" s="68" t="s">
        <v>105</v>
      </c>
      <c r="C16" s="69" t="s">
        <v>207</v>
      </c>
      <c r="D16" s="70">
        <v>11.0</v>
      </c>
      <c r="E16" s="73" t="s">
        <v>238</v>
      </c>
      <c r="F16" s="73">
        <v>11.0</v>
      </c>
      <c r="G16" s="69"/>
    </row>
    <row r="17">
      <c r="B17" s="68" t="s">
        <v>105</v>
      </c>
      <c r="C17" s="69"/>
      <c r="D17" s="69"/>
      <c r="E17" s="69"/>
      <c r="F17" s="69"/>
      <c r="G17" s="69"/>
    </row>
    <row r="18">
      <c r="B18" s="68" t="s">
        <v>105</v>
      </c>
      <c r="C18" s="69"/>
      <c r="D18" s="69"/>
      <c r="E18" s="69"/>
      <c r="F18" s="69"/>
      <c r="G18" s="69"/>
    </row>
    <row r="19">
      <c r="B19" s="68" t="s">
        <v>135</v>
      </c>
      <c r="C19" s="69"/>
      <c r="D19" s="69"/>
      <c r="E19" s="69"/>
      <c r="F19" s="69"/>
      <c r="G19" s="69"/>
    </row>
    <row r="20">
      <c r="B20" s="68" t="s">
        <v>135</v>
      </c>
      <c r="C20" s="69" t="s">
        <v>216</v>
      </c>
      <c r="D20" s="70">
        <v>3.0</v>
      </c>
      <c r="E20" s="73" t="s">
        <v>238</v>
      </c>
      <c r="F20" s="73">
        <v>3.0</v>
      </c>
      <c r="G20" s="69"/>
    </row>
    <row r="21">
      <c r="B21" s="68" t="s">
        <v>135</v>
      </c>
      <c r="C21" s="69"/>
      <c r="D21" s="69"/>
      <c r="E21" s="69"/>
      <c r="F21" s="69"/>
      <c r="G21" s="69"/>
    </row>
    <row r="22">
      <c r="B22" s="68" t="s">
        <v>146</v>
      </c>
      <c r="C22" s="69"/>
      <c r="D22" s="69"/>
      <c r="E22" s="69"/>
      <c r="F22" s="69"/>
      <c r="G22" s="69"/>
    </row>
    <row r="23">
      <c r="B23" s="68" t="s">
        <v>146</v>
      </c>
      <c r="C23" s="69"/>
      <c r="D23" s="69"/>
      <c r="E23" s="69"/>
      <c r="F23" s="69"/>
      <c r="G23" s="69"/>
    </row>
    <row r="24">
      <c r="B24" s="68" t="s">
        <v>153</v>
      </c>
      <c r="C24" s="69"/>
      <c r="D24" s="69"/>
      <c r="E24" s="69"/>
      <c r="F24" s="69"/>
      <c r="G24" s="69"/>
    </row>
    <row r="25">
      <c r="B25" s="68" t="s">
        <v>153</v>
      </c>
      <c r="C25" s="69"/>
      <c r="D25" s="69"/>
      <c r="E25" s="69"/>
      <c r="F25" s="69"/>
      <c r="G25" s="69"/>
    </row>
    <row r="26">
      <c r="B26" s="68" t="s">
        <v>239</v>
      </c>
      <c r="C26" s="69"/>
      <c r="D26" s="69"/>
      <c r="E26" s="69"/>
      <c r="F26" s="69"/>
      <c r="G26" s="69"/>
    </row>
    <row r="27">
      <c r="B27" s="66"/>
      <c r="C27" s="66"/>
      <c r="D27" s="66"/>
      <c r="E27" s="66"/>
      <c r="F27" s="66"/>
      <c r="G27" s="66"/>
    </row>
    <row r="28">
      <c r="B28" s="66"/>
      <c r="C28" s="66"/>
      <c r="D28" s="66"/>
      <c r="E28" s="68" t="s">
        <v>240</v>
      </c>
      <c r="F28" s="68">
        <f t="shared" ref="F28:G28" si="1">SUM(F1:F26)</f>
        <v>148</v>
      </c>
      <c r="G28" s="68">
        <f t="shared" si="1"/>
        <v>0</v>
      </c>
    </row>
    <row r="29">
      <c r="B29" s="66"/>
      <c r="C29" s="66"/>
      <c r="D29" s="66"/>
      <c r="E29" s="68" t="s">
        <v>241</v>
      </c>
      <c r="F29" s="68">
        <v>200.0</v>
      </c>
      <c r="G29" s="68">
        <v>200.0</v>
      </c>
    </row>
    <row r="30">
      <c r="B30" s="66"/>
      <c r="C30" s="66"/>
      <c r="D30" s="66"/>
      <c r="E30" s="76" t="s">
        <v>242</v>
      </c>
      <c r="F30" s="76">
        <f t="shared" ref="F30:G30" si="2">F29-F28</f>
        <v>52</v>
      </c>
      <c r="G30" s="76">
        <f t="shared" si="2"/>
        <v>200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5.13"/>
  </cols>
  <sheetData>
    <row r="2">
      <c r="A2" s="1" t="s">
        <v>233</v>
      </c>
      <c r="B2" s="66"/>
      <c r="C2" s="66" t="s">
        <v>21</v>
      </c>
      <c r="D2" s="66"/>
      <c r="E2" s="66"/>
      <c r="F2" s="66"/>
      <c r="G2" s="66"/>
    </row>
    <row r="3">
      <c r="B3" s="66"/>
      <c r="C3" s="67" t="s">
        <v>4</v>
      </c>
      <c r="D3" s="67" t="s">
        <v>234</v>
      </c>
      <c r="E3" s="67" t="s">
        <v>235</v>
      </c>
      <c r="F3" s="67" t="s">
        <v>236</v>
      </c>
      <c r="G3" s="67" t="s">
        <v>237</v>
      </c>
    </row>
    <row r="4">
      <c r="B4" s="68" t="s">
        <v>62</v>
      </c>
      <c r="C4" s="69" t="s">
        <v>171</v>
      </c>
      <c r="D4" s="70">
        <v>7.0</v>
      </c>
      <c r="E4" s="73" t="s">
        <v>238</v>
      </c>
      <c r="F4" s="73">
        <v>7.0</v>
      </c>
      <c r="G4" s="69"/>
    </row>
    <row r="5">
      <c r="B5" s="68" t="s">
        <v>62</v>
      </c>
      <c r="C5" s="69" t="s">
        <v>174</v>
      </c>
      <c r="D5" s="70">
        <v>3.0</v>
      </c>
      <c r="E5" s="73" t="s">
        <v>238</v>
      </c>
      <c r="F5" s="73">
        <v>3.0</v>
      </c>
      <c r="G5" s="69"/>
    </row>
    <row r="6">
      <c r="B6" s="68" t="s">
        <v>62</v>
      </c>
      <c r="C6" s="69"/>
      <c r="D6" s="69"/>
      <c r="E6" s="69"/>
      <c r="F6" s="69"/>
      <c r="G6" s="69"/>
    </row>
    <row r="7">
      <c r="B7" s="68" t="s">
        <v>74</v>
      </c>
      <c r="C7" s="69" t="s">
        <v>179</v>
      </c>
      <c r="D7" s="70">
        <v>25.0</v>
      </c>
      <c r="E7" s="73" t="s">
        <v>238</v>
      </c>
      <c r="F7" s="73">
        <v>25.0</v>
      </c>
      <c r="G7" s="69"/>
    </row>
    <row r="8">
      <c r="B8" s="68" t="s">
        <v>74</v>
      </c>
      <c r="C8" s="69" t="s">
        <v>183</v>
      </c>
      <c r="D8" s="70">
        <v>25.0</v>
      </c>
      <c r="E8" s="73" t="s">
        <v>238</v>
      </c>
      <c r="F8" s="73">
        <v>25.0</v>
      </c>
      <c r="G8" s="69"/>
    </row>
    <row r="9">
      <c r="B9" s="68" t="s">
        <v>74</v>
      </c>
      <c r="C9" s="69" t="s">
        <v>187</v>
      </c>
      <c r="D9" s="70">
        <v>16.0</v>
      </c>
      <c r="E9" s="73" t="s">
        <v>238</v>
      </c>
      <c r="F9" s="73">
        <v>16.0</v>
      </c>
      <c r="G9" s="69"/>
    </row>
    <row r="10">
      <c r="B10" s="68" t="s">
        <v>74</v>
      </c>
      <c r="C10" s="69"/>
      <c r="D10" s="69"/>
      <c r="E10" s="69"/>
      <c r="F10" s="69"/>
      <c r="G10" s="69"/>
    </row>
    <row r="11">
      <c r="B11" s="68" t="s">
        <v>74</v>
      </c>
      <c r="C11" s="69"/>
      <c r="D11" s="70"/>
      <c r="E11" s="69"/>
      <c r="F11" s="69"/>
      <c r="G11" s="69"/>
    </row>
    <row r="12">
      <c r="B12" s="68" t="s">
        <v>74</v>
      </c>
      <c r="C12" s="69"/>
      <c r="D12" s="69"/>
      <c r="E12" s="69"/>
      <c r="F12" s="69"/>
      <c r="G12" s="69"/>
    </row>
    <row r="13">
      <c r="B13" s="68" t="s">
        <v>105</v>
      </c>
      <c r="C13" s="69"/>
      <c r="D13" s="69"/>
      <c r="E13" s="69"/>
      <c r="F13" s="69"/>
      <c r="G13" s="69"/>
    </row>
    <row r="14">
      <c r="B14" s="68" t="s">
        <v>105</v>
      </c>
      <c r="C14" s="69" t="s">
        <v>197</v>
      </c>
      <c r="D14" s="70">
        <v>17.0</v>
      </c>
      <c r="E14" s="73" t="s">
        <v>238</v>
      </c>
      <c r="F14" s="73">
        <v>17.0</v>
      </c>
      <c r="G14" s="69"/>
    </row>
    <row r="15">
      <c r="B15" s="68" t="s">
        <v>105</v>
      </c>
      <c r="C15" s="69" t="s">
        <v>201</v>
      </c>
      <c r="D15" s="70">
        <v>15.0</v>
      </c>
      <c r="E15" s="73" t="s">
        <v>238</v>
      </c>
      <c r="F15" s="73">
        <v>15.0</v>
      </c>
      <c r="G15" s="69"/>
    </row>
    <row r="16">
      <c r="B16" s="68" t="s">
        <v>105</v>
      </c>
      <c r="C16" s="69"/>
      <c r="D16" s="69"/>
      <c r="E16" s="69"/>
      <c r="F16" s="69"/>
      <c r="G16" s="69"/>
    </row>
    <row r="17">
      <c r="B17" s="68" t="s">
        <v>105</v>
      </c>
      <c r="C17" s="69" t="s">
        <v>205</v>
      </c>
      <c r="D17" s="70">
        <v>6.0</v>
      </c>
      <c r="E17" s="73" t="s">
        <v>238</v>
      </c>
      <c r="F17" s="73">
        <v>6.0</v>
      </c>
      <c r="G17" s="69"/>
    </row>
    <row r="18">
      <c r="B18" s="68" t="s">
        <v>105</v>
      </c>
      <c r="C18" s="69"/>
      <c r="D18" s="69"/>
      <c r="E18" s="69"/>
      <c r="F18" s="69"/>
      <c r="G18" s="69"/>
    </row>
    <row r="19">
      <c r="B19" s="68" t="s">
        <v>135</v>
      </c>
      <c r="C19" s="69"/>
      <c r="D19" s="69"/>
      <c r="E19" s="69"/>
      <c r="F19" s="69"/>
      <c r="G19" s="69"/>
    </row>
    <row r="20">
      <c r="B20" s="68" t="s">
        <v>135</v>
      </c>
      <c r="C20" s="69" t="s">
        <v>217</v>
      </c>
      <c r="D20" s="70">
        <v>6.0</v>
      </c>
      <c r="E20" s="73" t="s">
        <v>238</v>
      </c>
      <c r="F20" s="72">
        <v>6.0</v>
      </c>
      <c r="G20" s="69"/>
    </row>
    <row r="21">
      <c r="B21" s="68" t="s">
        <v>135</v>
      </c>
      <c r="C21" s="69"/>
      <c r="D21" s="69"/>
      <c r="E21" s="69"/>
      <c r="F21" s="69"/>
      <c r="G21" s="69"/>
    </row>
    <row r="22">
      <c r="B22" s="68" t="s">
        <v>146</v>
      </c>
      <c r="C22" s="69" t="s">
        <v>224</v>
      </c>
      <c r="D22" s="70">
        <v>2.0</v>
      </c>
      <c r="E22" s="73" t="s">
        <v>238</v>
      </c>
      <c r="F22" s="73">
        <v>2.0</v>
      </c>
      <c r="G22" s="69"/>
    </row>
    <row r="23">
      <c r="B23" s="68" t="s">
        <v>146</v>
      </c>
      <c r="C23" s="69" t="s">
        <v>226</v>
      </c>
      <c r="D23" s="70">
        <v>2.0</v>
      </c>
      <c r="E23" s="73" t="s">
        <v>238</v>
      </c>
      <c r="F23" s="73">
        <v>2.0</v>
      </c>
      <c r="G23" s="69"/>
    </row>
    <row r="24">
      <c r="B24" s="68" t="s">
        <v>153</v>
      </c>
      <c r="C24" s="69" t="s">
        <v>228</v>
      </c>
      <c r="D24" s="70">
        <v>2.0</v>
      </c>
      <c r="E24" s="73" t="s">
        <v>238</v>
      </c>
      <c r="F24" s="73">
        <v>2.0</v>
      </c>
      <c r="G24" s="69"/>
    </row>
    <row r="25">
      <c r="B25" s="68" t="s">
        <v>153</v>
      </c>
      <c r="C25" s="69" t="s">
        <v>230</v>
      </c>
      <c r="D25" s="70">
        <v>2.0</v>
      </c>
      <c r="E25" s="73" t="s">
        <v>238</v>
      </c>
      <c r="F25" s="73">
        <v>2.0</v>
      </c>
      <c r="G25" s="69"/>
    </row>
    <row r="26">
      <c r="B26" s="68" t="s">
        <v>239</v>
      </c>
      <c r="C26" s="69"/>
      <c r="D26" s="69"/>
      <c r="E26" s="69"/>
      <c r="F26" s="69"/>
      <c r="G26" s="69"/>
    </row>
    <row r="27">
      <c r="B27" s="66"/>
      <c r="C27" s="66"/>
      <c r="D27" s="66"/>
      <c r="E27" s="66"/>
      <c r="F27" s="66"/>
      <c r="G27" s="66"/>
    </row>
    <row r="28">
      <c r="B28" s="66"/>
      <c r="C28" s="66"/>
      <c r="D28" s="66"/>
      <c r="E28" s="68" t="s">
        <v>240</v>
      </c>
      <c r="F28" s="68">
        <f t="shared" ref="F28:G28" si="1">SUM(F1:F26)</f>
        <v>128</v>
      </c>
      <c r="G28" s="68">
        <f t="shared" si="1"/>
        <v>0</v>
      </c>
    </row>
    <row r="29">
      <c r="B29" s="66"/>
      <c r="C29" s="66"/>
      <c r="D29" s="66"/>
      <c r="E29" s="68" t="s">
        <v>241</v>
      </c>
      <c r="F29" s="68">
        <v>200.0</v>
      </c>
      <c r="G29" s="68">
        <v>200.0</v>
      </c>
    </row>
    <row r="30">
      <c r="B30" s="66"/>
      <c r="C30" s="66"/>
      <c r="D30" s="66"/>
      <c r="E30" s="76" t="s">
        <v>242</v>
      </c>
      <c r="F30" s="76">
        <f t="shared" ref="F30:G30" si="2">F29-F28</f>
        <v>72</v>
      </c>
      <c r="G30" s="76">
        <f t="shared" si="2"/>
        <v>200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5.13"/>
  </cols>
  <sheetData>
    <row r="2">
      <c r="A2" s="1" t="s">
        <v>233</v>
      </c>
      <c r="B2" s="66"/>
      <c r="C2" s="66" t="s">
        <v>24</v>
      </c>
      <c r="D2" s="66"/>
      <c r="E2" s="66"/>
      <c r="F2" s="66"/>
      <c r="G2" s="66"/>
    </row>
    <row r="3">
      <c r="B3" s="66"/>
      <c r="C3" s="67" t="s">
        <v>4</v>
      </c>
      <c r="D3" s="67" t="s">
        <v>234</v>
      </c>
      <c r="E3" s="67" t="s">
        <v>235</v>
      </c>
      <c r="F3" s="67" t="s">
        <v>236</v>
      </c>
      <c r="G3" s="67" t="s">
        <v>237</v>
      </c>
    </row>
    <row r="4">
      <c r="B4" s="68" t="s">
        <v>62</v>
      </c>
      <c r="C4" s="69" t="s">
        <v>69</v>
      </c>
      <c r="D4" s="70">
        <v>7.0</v>
      </c>
      <c r="E4" s="74">
        <v>45325.0</v>
      </c>
      <c r="F4" s="73">
        <v>12.0</v>
      </c>
      <c r="G4" s="69"/>
    </row>
    <row r="5">
      <c r="B5" s="68" t="s">
        <v>62</v>
      </c>
      <c r="C5" s="69"/>
      <c r="D5" s="69"/>
      <c r="E5" s="69"/>
      <c r="F5" s="69"/>
      <c r="G5" s="69"/>
    </row>
    <row r="6">
      <c r="B6" s="68" t="s">
        <v>62</v>
      </c>
      <c r="C6" s="69"/>
      <c r="D6" s="69"/>
      <c r="E6" s="69"/>
      <c r="F6" s="69"/>
      <c r="G6" s="69"/>
    </row>
    <row r="7">
      <c r="B7" s="68" t="s">
        <v>74</v>
      </c>
      <c r="C7" s="69" t="s">
        <v>80</v>
      </c>
      <c r="D7" s="70">
        <v>37.0</v>
      </c>
      <c r="E7" s="74">
        <v>45324.0</v>
      </c>
      <c r="F7" s="73">
        <v>42.0</v>
      </c>
      <c r="G7" s="69"/>
    </row>
    <row r="8">
      <c r="B8" s="68" t="s">
        <v>74</v>
      </c>
      <c r="C8" s="69" t="s">
        <v>86</v>
      </c>
      <c r="D8" s="70">
        <v>7.0</v>
      </c>
      <c r="E8" s="73" t="s">
        <v>238</v>
      </c>
      <c r="F8" s="73">
        <v>7.0</v>
      </c>
      <c r="G8" s="69"/>
    </row>
    <row r="9">
      <c r="B9" s="68" t="s">
        <v>74</v>
      </c>
      <c r="C9" s="69" t="s">
        <v>92</v>
      </c>
      <c r="D9" s="70">
        <v>4.0</v>
      </c>
      <c r="E9" s="73" t="s">
        <v>238</v>
      </c>
      <c r="F9" s="73">
        <v>4.0</v>
      </c>
      <c r="G9" s="69"/>
    </row>
    <row r="10">
      <c r="B10" s="68" t="s">
        <v>74</v>
      </c>
      <c r="C10" s="69"/>
      <c r="D10" s="70"/>
      <c r="E10" s="73"/>
      <c r="F10" s="73"/>
      <c r="G10" s="69"/>
    </row>
    <row r="11">
      <c r="B11" s="68" t="s">
        <v>74</v>
      </c>
      <c r="C11" s="69"/>
      <c r="D11" s="70"/>
      <c r="E11" s="73"/>
      <c r="F11" s="73"/>
      <c r="G11" s="69"/>
    </row>
    <row r="12">
      <c r="B12" s="68" t="s">
        <v>74</v>
      </c>
      <c r="C12" s="69"/>
      <c r="D12" s="69"/>
      <c r="E12" s="69"/>
      <c r="F12" s="69"/>
      <c r="G12" s="69"/>
    </row>
    <row r="13">
      <c r="B13" s="68" t="s">
        <v>105</v>
      </c>
      <c r="C13" s="69" t="s">
        <v>111</v>
      </c>
      <c r="D13" s="70">
        <v>36.0</v>
      </c>
      <c r="E13" s="73" t="s">
        <v>238</v>
      </c>
      <c r="F13" s="73">
        <v>36.0</v>
      </c>
      <c r="G13" s="69"/>
    </row>
    <row r="14">
      <c r="B14" s="68" t="s">
        <v>105</v>
      </c>
      <c r="C14" s="69" t="s">
        <v>117</v>
      </c>
      <c r="D14" s="70">
        <v>13.0</v>
      </c>
      <c r="E14" s="73" t="s">
        <v>238</v>
      </c>
      <c r="F14" s="73">
        <v>13.0</v>
      </c>
      <c r="G14" s="69"/>
    </row>
    <row r="15">
      <c r="B15" s="68" t="s">
        <v>105</v>
      </c>
      <c r="C15" s="69" t="s">
        <v>123</v>
      </c>
      <c r="D15" s="70">
        <v>11.0</v>
      </c>
      <c r="E15" s="71">
        <v>45293.0</v>
      </c>
      <c r="F15" s="72">
        <v>16.0</v>
      </c>
      <c r="G15" s="72">
        <v>21.0</v>
      </c>
    </row>
    <row r="16">
      <c r="B16" s="68" t="s">
        <v>105</v>
      </c>
      <c r="C16" s="72" t="s">
        <v>128</v>
      </c>
      <c r="D16" s="70">
        <v>2.0</v>
      </c>
      <c r="E16" s="73" t="s">
        <v>238</v>
      </c>
      <c r="F16" s="72">
        <v>2.0</v>
      </c>
      <c r="G16" s="69"/>
    </row>
    <row r="17">
      <c r="B17" s="68" t="s">
        <v>105</v>
      </c>
      <c r="C17" s="69"/>
      <c r="D17" s="69"/>
      <c r="E17" s="69"/>
      <c r="F17" s="69"/>
      <c r="G17" s="69"/>
    </row>
    <row r="18">
      <c r="B18" s="68" t="s">
        <v>105</v>
      </c>
      <c r="C18" s="69"/>
      <c r="D18" s="69"/>
      <c r="E18" s="69"/>
      <c r="F18" s="69"/>
      <c r="G18" s="69"/>
    </row>
    <row r="19">
      <c r="B19" s="68" t="s">
        <v>135</v>
      </c>
      <c r="C19" s="69" t="s">
        <v>141</v>
      </c>
      <c r="D19" s="70">
        <v>3.0</v>
      </c>
      <c r="E19" s="73" t="s">
        <v>238</v>
      </c>
      <c r="F19" s="73">
        <v>3.0</v>
      </c>
      <c r="G19" s="69"/>
    </row>
    <row r="20">
      <c r="B20" s="68" t="s">
        <v>135</v>
      </c>
      <c r="C20" s="69" t="s">
        <v>144</v>
      </c>
      <c r="D20" s="70">
        <v>3.0</v>
      </c>
      <c r="E20" s="73" t="s">
        <v>238</v>
      </c>
      <c r="F20" s="73">
        <v>3.0</v>
      </c>
      <c r="G20" s="69"/>
    </row>
    <row r="21">
      <c r="B21" s="68" t="s">
        <v>135</v>
      </c>
      <c r="C21" s="69"/>
      <c r="D21" s="69"/>
      <c r="E21" s="69"/>
      <c r="F21" s="69"/>
      <c r="G21" s="69"/>
    </row>
    <row r="22">
      <c r="B22" s="68" t="s">
        <v>146</v>
      </c>
      <c r="C22" s="69" t="s">
        <v>152</v>
      </c>
      <c r="D22" s="70">
        <v>1.0</v>
      </c>
      <c r="E22" s="73" t="s">
        <v>238</v>
      </c>
      <c r="F22" s="73">
        <v>1.0</v>
      </c>
      <c r="G22" s="69"/>
    </row>
    <row r="23">
      <c r="B23" s="68" t="s">
        <v>146</v>
      </c>
      <c r="C23" s="69"/>
      <c r="D23" s="69"/>
      <c r="E23" s="69"/>
      <c r="F23" s="69"/>
      <c r="G23" s="69"/>
    </row>
    <row r="24">
      <c r="B24" s="68" t="s">
        <v>153</v>
      </c>
      <c r="C24" s="69" t="s">
        <v>159</v>
      </c>
      <c r="D24" s="70">
        <v>1.0</v>
      </c>
      <c r="E24" s="73" t="s">
        <v>238</v>
      </c>
      <c r="F24" s="73">
        <v>1.0</v>
      </c>
      <c r="G24" s="69"/>
    </row>
    <row r="25">
      <c r="B25" s="68" t="s">
        <v>153</v>
      </c>
      <c r="C25" s="69"/>
      <c r="D25" s="69"/>
      <c r="E25" s="69"/>
      <c r="F25" s="69"/>
      <c r="G25" s="69"/>
    </row>
    <row r="26">
      <c r="B26" s="68" t="s">
        <v>239</v>
      </c>
      <c r="C26" s="69"/>
      <c r="D26" s="69"/>
      <c r="E26" s="69"/>
      <c r="F26" s="69"/>
      <c r="G26" s="69"/>
    </row>
    <row r="27">
      <c r="B27" s="66"/>
      <c r="C27" s="66"/>
      <c r="D27" s="66"/>
      <c r="E27" s="66"/>
      <c r="F27" s="66"/>
      <c r="G27" s="66"/>
    </row>
    <row r="28">
      <c r="B28" s="66"/>
      <c r="C28" s="66"/>
      <c r="D28" s="66"/>
      <c r="E28" s="68" t="s">
        <v>240</v>
      </c>
      <c r="F28" s="68">
        <f t="shared" ref="F28:G28" si="1">SUM(F1:F26)</f>
        <v>140</v>
      </c>
      <c r="G28" s="68">
        <f t="shared" si="1"/>
        <v>21</v>
      </c>
    </row>
    <row r="29">
      <c r="B29" s="66"/>
      <c r="C29" s="66"/>
      <c r="D29" s="66"/>
      <c r="E29" s="68" t="s">
        <v>241</v>
      </c>
      <c r="F29" s="68">
        <v>200.0</v>
      </c>
      <c r="G29" s="68">
        <v>200.0</v>
      </c>
    </row>
    <row r="30">
      <c r="B30" s="66"/>
      <c r="C30" s="66"/>
      <c r="D30" s="66"/>
      <c r="E30" s="76" t="s">
        <v>242</v>
      </c>
      <c r="F30" s="76">
        <f t="shared" ref="F30:G30" si="2">F29-F28</f>
        <v>60</v>
      </c>
      <c r="G30" s="76">
        <f t="shared" si="2"/>
        <v>179</v>
      </c>
    </row>
    <row r="32">
      <c r="C32" s="1" t="s">
        <v>259</v>
      </c>
      <c r="D32" s="1">
        <v>10.0</v>
      </c>
    </row>
    <row r="33">
      <c r="C33" s="1" t="s">
        <v>260</v>
      </c>
      <c r="D33" s="1">
        <v>9.0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5.13"/>
  </cols>
  <sheetData>
    <row r="2">
      <c r="A2" s="1" t="s">
        <v>233</v>
      </c>
      <c r="B2" s="66"/>
      <c r="C2" s="66" t="s">
        <v>26</v>
      </c>
      <c r="D2" s="66"/>
      <c r="E2" s="66"/>
      <c r="F2" s="66"/>
      <c r="G2" s="66"/>
      <c r="M2" s="66"/>
      <c r="N2" s="66" t="s">
        <v>26</v>
      </c>
      <c r="O2" s="66"/>
      <c r="P2" s="66"/>
      <c r="Q2" s="66"/>
      <c r="R2" s="66"/>
    </row>
    <row r="3">
      <c r="B3" s="66"/>
      <c r="C3" s="67" t="s">
        <v>4</v>
      </c>
      <c r="D3" s="67" t="s">
        <v>234</v>
      </c>
      <c r="E3" s="67" t="s">
        <v>235</v>
      </c>
      <c r="F3" s="67" t="s">
        <v>236</v>
      </c>
      <c r="G3" s="67" t="s">
        <v>237</v>
      </c>
      <c r="H3" s="77" t="s">
        <v>248</v>
      </c>
      <c r="M3" s="66"/>
      <c r="N3" s="67" t="s">
        <v>4</v>
      </c>
      <c r="O3" s="67" t="s">
        <v>234</v>
      </c>
      <c r="P3" s="67" t="s">
        <v>235</v>
      </c>
      <c r="Q3" s="67" t="s">
        <v>236</v>
      </c>
      <c r="R3" s="67" t="s">
        <v>237</v>
      </c>
      <c r="S3" s="77" t="s">
        <v>248</v>
      </c>
    </row>
    <row r="4">
      <c r="B4" s="68" t="s">
        <v>62</v>
      </c>
      <c r="C4" s="69" t="s">
        <v>172</v>
      </c>
      <c r="D4" s="70">
        <v>14.0</v>
      </c>
      <c r="E4" s="73" t="s">
        <v>238</v>
      </c>
      <c r="F4" s="73">
        <v>14.0</v>
      </c>
      <c r="G4" s="69"/>
      <c r="H4" s="3"/>
      <c r="M4" s="68" t="s">
        <v>62</v>
      </c>
      <c r="N4" s="69" t="s">
        <v>172</v>
      </c>
      <c r="O4" s="70">
        <v>14.0</v>
      </c>
      <c r="P4" s="73" t="s">
        <v>238</v>
      </c>
      <c r="Q4" s="73">
        <v>14.0</v>
      </c>
      <c r="R4" s="69"/>
      <c r="S4" s="3"/>
    </row>
    <row r="5">
      <c r="B5" s="68" t="s">
        <v>62</v>
      </c>
      <c r="C5" s="69"/>
      <c r="D5" s="69"/>
      <c r="E5" s="69"/>
      <c r="F5" s="69"/>
      <c r="G5" s="69"/>
      <c r="H5" s="3"/>
      <c r="M5" s="68" t="s">
        <v>62</v>
      </c>
      <c r="N5" s="72" t="s">
        <v>175</v>
      </c>
      <c r="O5" s="69"/>
      <c r="P5" s="69"/>
      <c r="Q5" s="69"/>
      <c r="R5" s="72">
        <v>23.0</v>
      </c>
      <c r="S5" s="3"/>
    </row>
    <row r="6">
      <c r="B6" s="68" t="s">
        <v>62</v>
      </c>
      <c r="C6" s="69"/>
      <c r="D6" s="69"/>
      <c r="E6" s="69"/>
      <c r="F6" s="69"/>
      <c r="G6" s="69"/>
      <c r="H6" s="3"/>
      <c r="M6" s="68" t="s">
        <v>62</v>
      </c>
      <c r="N6" s="69"/>
      <c r="O6" s="69"/>
      <c r="P6" s="69"/>
      <c r="Q6" s="69"/>
      <c r="R6" s="69"/>
      <c r="S6" s="3"/>
    </row>
    <row r="7">
      <c r="B7" s="68" t="s">
        <v>74</v>
      </c>
      <c r="C7" s="69" t="s">
        <v>180</v>
      </c>
      <c r="D7" s="70">
        <v>46.0</v>
      </c>
      <c r="E7" s="74">
        <v>45324.0</v>
      </c>
      <c r="F7" s="73">
        <v>51.0</v>
      </c>
      <c r="G7" s="69"/>
      <c r="H7" s="3"/>
      <c r="M7" s="68" t="s">
        <v>74</v>
      </c>
      <c r="N7" s="69" t="s">
        <v>180</v>
      </c>
      <c r="O7" s="70">
        <v>46.0</v>
      </c>
      <c r="P7" s="74">
        <v>45324.0</v>
      </c>
      <c r="Q7" s="73">
        <v>51.0</v>
      </c>
      <c r="R7" s="69"/>
      <c r="S7" s="3"/>
    </row>
    <row r="8">
      <c r="B8" s="68" t="s">
        <v>74</v>
      </c>
      <c r="C8" s="69" t="s">
        <v>184</v>
      </c>
      <c r="D8" s="70">
        <v>30.0</v>
      </c>
      <c r="E8" s="73" t="s">
        <v>238</v>
      </c>
      <c r="F8" s="73">
        <v>30.0</v>
      </c>
      <c r="G8" s="69"/>
      <c r="H8" s="3"/>
      <c r="M8" s="68" t="s">
        <v>74</v>
      </c>
      <c r="N8" s="69" t="s">
        <v>184</v>
      </c>
      <c r="O8" s="70">
        <v>30.0</v>
      </c>
      <c r="P8" s="73" t="s">
        <v>238</v>
      </c>
      <c r="Q8" s="73">
        <v>30.0</v>
      </c>
      <c r="R8" s="72">
        <v>35.0</v>
      </c>
      <c r="S8" s="3"/>
    </row>
    <row r="9">
      <c r="B9" s="68" t="s">
        <v>74</v>
      </c>
      <c r="C9" s="69" t="s">
        <v>188</v>
      </c>
      <c r="D9" s="70">
        <v>2.0</v>
      </c>
      <c r="E9" s="73" t="s">
        <v>238</v>
      </c>
      <c r="F9" s="72">
        <v>2.0</v>
      </c>
      <c r="G9" s="69"/>
      <c r="H9" s="3"/>
      <c r="M9" s="68" t="s">
        <v>74</v>
      </c>
      <c r="N9" s="69" t="s">
        <v>188</v>
      </c>
      <c r="O9" s="70">
        <v>2.0</v>
      </c>
      <c r="P9" s="73" t="s">
        <v>238</v>
      </c>
      <c r="Q9" s="72">
        <v>2.0</v>
      </c>
      <c r="R9" s="69"/>
      <c r="S9" s="3"/>
    </row>
    <row r="10">
      <c r="B10" s="68" t="s">
        <v>74</v>
      </c>
      <c r="C10" s="69" t="s">
        <v>192</v>
      </c>
      <c r="D10" s="70">
        <v>1.0</v>
      </c>
      <c r="E10" s="73" t="s">
        <v>238</v>
      </c>
      <c r="F10" s="72">
        <v>1.0</v>
      </c>
      <c r="G10" s="69"/>
      <c r="H10" s="3"/>
      <c r="M10" s="68" t="s">
        <v>74</v>
      </c>
      <c r="N10" s="69" t="s">
        <v>192</v>
      </c>
      <c r="O10" s="70">
        <v>1.0</v>
      </c>
      <c r="P10" s="73" t="s">
        <v>238</v>
      </c>
      <c r="Q10" s="72">
        <v>1.0</v>
      </c>
      <c r="R10" s="69"/>
      <c r="S10" s="3"/>
    </row>
    <row r="11">
      <c r="B11" s="68" t="s">
        <v>74</v>
      </c>
      <c r="C11" s="69"/>
      <c r="D11" s="70"/>
      <c r="E11" s="73"/>
      <c r="F11" s="69"/>
      <c r="G11" s="69"/>
      <c r="H11" s="3"/>
      <c r="M11" s="68" t="s">
        <v>74</v>
      </c>
      <c r="N11" s="69"/>
      <c r="O11" s="70"/>
      <c r="P11" s="73"/>
      <c r="Q11" s="69"/>
      <c r="R11" s="69"/>
      <c r="S11" s="3"/>
    </row>
    <row r="12">
      <c r="B12" s="68" t="s">
        <v>74</v>
      </c>
      <c r="C12" s="69"/>
      <c r="D12" s="69"/>
      <c r="E12" s="69"/>
      <c r="F12" s="69"/>
      <c r="G12" s="69"/>
      <c r="H12" s="3"/>
      <c r="M12" s="68" t="s">
        <v>74</v>
      </c>
      <c r="N12" s="69"/>
      <c r="O12" s="69"/>
      <c r="P12" s="69"/>
      <c r="Q12" s="69"/>
      <c r="R12" s="69"/>
      <c r="S12" s="3"/>
    </row>
    <row r="13">
      <c r="B13" s="68" t="s">
        <v>105</v>
      </c>
      <c r="C13" s="69" t="s">
        <v>198</v>
      </c>
      <c r="D13" s="70">
        <v>18.0</v>
      </c>
      <c r="E13" s="74">
        <v>45324.0</v>
      </c>
      <c r="F13" s="73">
        <v>23.0</v>
      </c>
      <c r="G13" s="69"/>
      <c r="H13" s="3"/>
      <c r="M13" s="68" t="s">
        <v>105</v>
      </c>
      <c r="N13" s="69" t="s">
        <v>198</v>
      </c>
      <c r="O13" s="70">
        <v>18.0</v>
      </c>
      <c r="P13" s="74">
        <v>45324.0</v>
      </c>
      <c r="Q13" s="73">
        <v>23.0</v>
      </c>
      <c r="R13" s="69"/>
      <c r="S13" s="3"/>
    </row>
    <row r="14">
      <c r="B14" s="68" t="s">
        <v>105</v>
      </c>
      <c r="C14" s="69" t="s">
        <v>202</v>
      </c>
      <c r="D14" s="70">
        <v>14.0</v>
      </c>
      <c r="E14" s="74">
        <v>45325.0</v>
      </c>
      <c r="F14" s="73">
        <v>19.0</v>
      </c>
      <c r="G14" s="73">
        <v>24.0</v>
      </c>
      <c r="H14" s="3"/>
      <c r="M14" s="68" t="s">
        <v>105</v>
      </c>
      <c r="N14" s="69" t="s">
        <v>202</v>
      </c>
      <c r="O14" s="70">
        <v>14.0</v>
      </c>
      <c r="P14" s="74">
        <v>45325.0</v>
      </c>
      <c r="Q14" s="73">
        <v>19.0</v>
      </c>
      <c r="R14" s="73">
        <v>24.0</v>
      </c>
      <c r="S14" s="3"/>
    </row>
    <row r="15">
      <c r="B15" s="68" t="s">
        <v>105</v>
      </c>
      <c r="C15" s="69" t="s">
        <v>206</v>
      </c>
      <c r="D15" s="70">
        <v>10.0</v>
      </c>
      <c r="E15" s="71">
        <v>45294.0</v>
      </c>
      <c r="F15" s="72">
        <v>15.0</v>
      </c>
      <c r="G15" s="72">
        <v>20.0</v>
      </c>
      <c r="H15" s="2">
        <v>25.0</v>
      </c>
      <c r="M15" s="68" t="s">
        <v>105</v>
      </c>
      <c r="N15" s="69" t="s">
        <v>206</v>
      </c>
      <c r="O15" s="70">
        <v>10.0</v>
      </c>
      <c r="P15" s="71">
        <v>45294.0</v>
      </c>
      <c r="Q15" s="72">
        <v>15.0</v>
      </c>
      <c r="R15" s="72">
        <v>20.0</v>
      </c>
      <c r="S15" s="2">
        <v>25.0</v>
      </c>
    </row>
    <row r="16">
      <c r="B16" s="68" t="s">
        <v>105</v>
      </c>
      <c r="C16" s="69"/>
      <c r="D16" s="69"/>
      <c r="E16" s="69"/>
      <c r="F16" s="69"/>
      <c r="G16" s="69"/>
      <c r="H16" s="3"/>
      <c r="M16" s="68" t="s">
        <v>105</v>
      </c>
      <c r="N16" s="69"/>
      <c r="O16" s="69"/>
      <c r="P16" s="69"/>
      <c r="Q16" s="69"/>
      <c r="R16" s="69"/>
      <c r="S16" s="3"/>
    </row>
    <row r="17">
      <c r="B17" s="68" t="s">
        <v>105</v>
      </c>
      <c r="C17" s="69"/>
      <c r="D17" s="69"/>
      <c r="E17" s="69"/>
      <c r="F17" s="69"/>
      <c r="G17" s="69"/>
      <c r="H17" s="3"/>
      <c r="M17" s="68" t="s">
        <v>105</v>
      </c>
      <c r="N17" s="69"/>
      <c r="O17" s="69"/>
      <c r="P17" s="69"/>
      <c r="Q17" s="69"/>
      <c r="R17" s="69"/>
      <c r="S17" s="3"/>
    </row>
    <row r="18">
      <c r="B18" s="68" t="s">
        <v>105</v>
      </c>
      <c r="C18" s="69" t="s">
        <v>209</v>
      </c>
      <c r="D18" s="70">
        <v>3.0</v>
      </c>
      <c r="E18" s="73" t="s">
        <v>238</v>
      </c>
      <c r="F18" s="72">
        <v>3.0</v>
      </c>
      <c r="G18" s="69"/>
      <c r="H18" s="3"/>
      <c r="M18" s="68" t="s">
        <v>105</v>
      </c>
      <c r="N18" s="69" t="s">
        <v>209</v>
      </c>
      <c r="O18" s="70">
        <v>3.0</v>
      </c>
      <c r="P18" s="73" t="s">
        <v>238</v>
      </c>
      <c r="Q18" s="72">
        <v>3.0</v>
      </c>
      <c r="R18" s="69"/>
      <c r="S18" s="3"/>
    </row>
    <row r="19">
      <c r="B19" s="68" t="s">
        <v>135</v>
      </c>
      <c r="C19" s="69"/>
      <c r="D19" s="69"/>
      <c r="E19" s="69"/>
      <c r="F19" s="69"/>
      <c r="G19" s="69"/>
      <c r="H19" s="3"/>
      <c r="M19" s="68" t="s">
        <v>135</v>
      </c>
      <c r="N19" s="69"/>
      <c r="O19" s="69"/>
      <c r="P19" s="69"/>
      <c r="Q19" s="69"/>
      <c r="R19" s="69"/>
      <c r="S19" s="3"/>
    </row>
    <row r="20">
      <c r="B20" s="68" t="s">
        <v>135</v>
      </c>
      <c r="C20" s="69"/>
      <c r="D20" s="69"/>
      <c r="E20" s="69"/>
      <c r="F20" s="69"/>
      <c r="G20" s="69"/>
      <c r="H20" s="3"/>
      <c r="M20" s="68" t="s">
        <v>135</v>
      </c>
      <c r="N20" s="69"/>
      <c r="O20" s="69"/>
      <c r="P20" s="69"/>
      <c r="Q20" s="69"/>
      <c r="R20" s="69"/>
      <c r="S20" s="3"/>
    </row>
    <row r="21">
      <c r="B21" s="68" t="s">
        <v>135</v>
      </c>
      <c r="C21" s="69"/>
      <c r="D21" s="69"/>
      <c r="E21" s="69"/>
      <c r="F21" s="69"/>
      <c r="G21" s="69"/>
      <c r="H21" s="3"/>
      <c r="M21" s="68" t="s">
        <v>135</v>
      </c>
      <c r="N21" s="69"/>
      <c r="O21" s="69"/>
      <c r="P21" s="69"/>
      <c r="Q21" s="69"/>
      <c r="R21" s="69"/>
      <c r="S21" s="3"/>
    </row>
    <row r="22">
      <c r="B22" s="68" t="s">
        <v>146</v>
      </c>
      <c r="C22" s="69" t="s">
        <v>225</v>
      </c>
      <c r="D22" s="70">
        <v>1.0</v>
      </c>
      <c r="E22" s="73" t="s">
        <v>238</v>
      </c>
      <c r="F22" s="73">
        <v>1.0</v>
      </c>
      <c r="G22" s="69"/>
      <c r="H22" s="3"/>
      <c r="M22" s="68" t="s">
        <v>146</v>
      </c>
      <c r="N22" s="69" t="s">
        <v>225</v>
      </c>
      <c r="O22" s="70">
        <v>1.0</v>
      </c>
      <c r="P22" s="73" t="s">
        <v>238</v>
      </c>
      <c r="Q22" s="73">
        <v>1.0</v>
      </c>
      <c r="R22" s="69"/>
      <c r="S22" s="3"/>
    </row>
    <row r="23">
      <c r="B23" s="68" t="s">
        <v>146</v>
      </c>
      <c r="C23" s="69"/>
      <c r="D23" s="69"/>
      <c r="E23" s="69"/>
      <c r="F23" s="69"/>
      <c r="G23" s="69"/>
      <c r="H23" s="3"/>
      <c r="M23" s="68" t="s">
        <v>146</v>
      </c>
      <c r="N23" s="69"/>
      <c r="O23" s="69"/>
      <c r="P23" s="69"/>
      <c r="Q23" s="69"/>
      <c r="R23" s="69"/>
      <c r="S23" s="3"/>
    </row>
    <row r="24">
      <c r="B24" s="68" t="s">
        <v>153</v>
      </c>
      <c r="C24" s="69"/>
      <c r="D24" s="69"/>
      <c r="E24" s="69"/>
      <c r="F24" s="69"/>
      <c r="G24" s="69"/>
      <c r="H24" s="3"/>
      <c r="M24" s="68" t="s">
        <v>153</v>
      </c>
      <c r="N24" s="69"/>
      <c r="O24" s="69"/>
      <c r="P24" s="69"/>
      <c r="Q24" s="69"/>
      <c r="R24" s="69"/>
      <c r="S24" s="3"/>
    </row>
    <row r="25">
      <c r="B25" s="68" t="s">
        <v>153</v>
      </c>
      <c r="C25" s="69"/>
      <c r="D25" s="69"/>
      <c r="E25" s="69"/>
      <c r="F25" s="69"/>
      <c r="G25" s="69"/>
      <c r="H25" s="3"/>
      <c r="M25" s="68" t="s">
        <v>153</v>
      </c>
      <c r="N25" s="69"/>
      <c r="O25" s="69"/>
      <c r="P25" s="69"/>
      <c r="Q25" s="69"/>
      <c r="R25" s="69"/>
      <c r="S25" s="3"/>
    </row>
    <row r="26">
      <c r="B26" s="68" t="s">
        <v>239</v>
      </c>
      <c r="C26" s="69"/>
      <c r="D26" s="69"/>
      <c r="E26" s="69"/>
      <c r="F26" s="69"/>
      <c r="G26" s="69"/>
      <c r="H26" s="3"/>
      <c r="M26" s="68" t="s">
        <v>239</v>
      </c>
      <c r="N26" s="69"/>
      <c r="O26" s="69"/>
      <c r="P26" s="69"/>
      <c r="Q26" s="69"/>
      <c r="R26" s="69"/>
      <c r="S26" s="3"/>
    </row>
    <row r="27">
      <c r="B27" s="66"/>
      <c r="C27" s="66"/>
      <c r="D27" s="66"/>
      <c r="E27" s="66"/>
      <c r="F27" s="66"/>
      <c r="G27" s="66"/>
      <c r="M27" s="66"/>
      <c r="N27" s="66"/>
      <c r="O27" s="66"/>
      <c r="P27" s="66"/>
      <c r="Q27" s="66"/>
      <c r="R27" s="66"/>
    </row>
    <row r="28">
      <c r="B28" s="66"/>
      <c r="C28" s="66"/>
      <c r="D28" s="66"/>
      <c r="E28" s="68" t="s">
        <v>240</v>
      </c>
      <c r="F28" s="68">
        <f t="shared" ref="F28:G28" si="1">SUM(F1:F26)</f>
        <v>159</v>
      </c>
      <c r="G28" s="68">
        <f t="shared" si="1"/>
        <v>44</v>
      </c>
      <c r="M28" s="66"/>
      <c r="N28" s="66"/>
      <c r="O28" s="66"/>
      <c r="P28" s="68" t="s">
        <v>240</v>
      </c>
      <c r="Q28" s="68">
        <f t="shared" ref="Q28:R28" si="2">SUM(Q1:Q26)</f>
        <v>159</v>
      </c>
      <c r="R28" s="68">
        <f t="shared" si="2"/>
        <v>102</v>
      </c>
    </row>
    <row r="29">
      <c r="B29" s="66"/>
      <c r="C29" s="66"/>
      <c r="D29" s="66"/>
      <c r="E29" s="68" t="s">
        <v>241</v>
      </c>
      <c r="F29" s="68">
        <v>200.0</v>
      </c>
      <c r="G29" s="68">
        <v>200.0</v>
      </c>
      <c r="M29" s="66"/>
      <c r="N29" s="66"/>
      <c r="O29" s="66"/>
      <c r="P29" s="68" t="s">
        <v>241</v>
      </c>
      <c r="Q29" s="68">
        <v>200.0</v>
      </c>
      <c r="R29" s="68">
        <v>200.0</v>
      </c>
    </row>
    <row r="30">
      <c r="B30" s="66"/>
      <c r="C30" s="66"/>
      <c r="D30" s="66"/>
      <c r="E30" s="76" t="s">
        <v>242</v>
      </c>
      <c r="F30" s="76">
        <f t="shared" ref="F30:G30" si="3">F29-F28</f>
        <v>41</v>
      </c>
      <c r="G30" s="76">
        <f t="shared" si="3"/>
        <v>156</v>
      </c>
      <c r="M30" s="66"/>
      <c r="N30" s="66"/>
      <c r="O30" s="66"/>
      <c r="P30" s="76" t="s">
        <v>242</v>
      </c>
      <c r="Q30" s="76">
        <f t="shared" ref="Q30:R30" si="4">Q29-Q28</f>
        <v>41</v>
      </c>
      <c r="R30" s="76">
        <f t="shared" si="4"/>
        <v>98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.13"/>
    <col customWidth="1" min="3" max="3" width="14.13"/>
    <col customWidth="1" min="4" max="4" width="3.75"/>
    <col customWidth="1" min="5" max="5" width="14.13"/>
    <col customWidth="1" min="6" max="6" width="3.75"/>
    <col customWidth="1" min="7" max="7" width="14.13"/>
    <col customWidth="1" min="8" max="8" width="3.75"/>
    <col customWidth="1" min="9" max="9" width="14.13"/>
    <col customWidth="1" min="10" max="10" width="3.75"/>
    <col customWidth="1" min="11" max="11" width="14.13"/>
    <col customWidth="1" min="12" max="12" width="3.75"/>
    <col customWidth="1" min="13" max="13" width="4.38"/>
  </cols>
  <sheetData>
    <row r="3">
      <c r="A3" s="5"/>
      <c r="B3" s="6"/>
      <c r="C3" s="7" t="s">
        <v>52</v>
      </c>
      <c r="D3" s="7"/>
      <c r="E3" s="7" t="s">
        <v>53</v>
      </c>
      <c r="F3" s="7"/>
      <c r="G3" s="7" t="s">
        <v>54</v>
      </c>
      <c r="H3" s="7"/>
      <c r="I3" s="7" t="s">
        <v>55</v>
      </c>
      <c r="J3" s="7"/>
      <c r="K3" s="7" t="s">
        <v>28</v>
      </c>
      <c r="L3" s="7"/>
      <c r="M3" s="6"/>
    </row>
    <row r="4">
      <c r="A4" s="11"/>
      <c r="B4" s="12" t="s">
        <v>60</v>
      </c>
      <c r="C4" s="13" t="s">
        <v>4</v>
      </c>
      <c r="D4" s="14" t="s">
        <v>61</v>
      </c>
      <c r="E4" s="13" t="s">
        <v>4</v>
      </c>
      <c r="F4" s="15" t="s">
        <v>61</v>
      </c>
      <c r="G4" s="13" t="s">
        <v>4</v>
      </c>
      <c r="H4" s="15" t="s">
        <v>61</v>
      </c>
      <c r="I4" s="13" t="s">
        <v>4</v>
      </c>
      <c r="J4" s="15" t="s">
        <v>61</v>
      </c>
      <c r="K4" s="13" t="s">
        <v>4</v>
      </c>
      <c r="L4" s="15" t="s">
        <v>61</v>
      </c>
      <c r="M4" s="16" t="s">
        <v>60</v>
      </c>
    </row>
    <row r="5">
      <c r="A5" s="21"/>
      <c r="B5" s="22" t="s">
        <v>62</v>
      </c>
      <c r="C5" s="1" t="s">
        <v>68</v>
      </c>
      <c r="D5" s="24">
        <v>18.0</v>
      </c>
      <c r="E5" s="1" t="s">
        <v>64</v>
      </c>
      <c r="F5" s="24">
        <v>23.0</v>
      </c>
      <c r="G5" s="1" t="s">
        <v>251</v>
      </c>
      <c r="H5" s="24">
        <v>8.0</v>
      </c>
      <c r="I5" s="1" t="s">
        <v>261</v>
      </c>
      <c r="J5" s="24">
        <v>13.0</v>
      </c>
      <c r="K5" s="1" t="s">
        <v>67</v>
      </c>
      <c r="L5" s="24">
        <v>6.0</v>
      </c>
      <c r="M5" s="26" t="s">
        <v>62</v>
      </c>
    </row>
    <row r="6">
      <c r="A6" s="21"/>
      <c r="B6" s="22" t="s">
        <v>62</v>
      </c>
      <c r="C6" s="1" t="s">
        <v>63</v>
      </c>
      <c r="D6" s="24">
        <v>15.0</v>
      </c>
      <c r="E6" s="1" t="s">
        <v>262</v>
      </c>
      <c r="F6" s="24">
        <v>3.0</v>
      </c>
      <c r="G6" s="1" t="s">
        <v>162</v>
      </c>
      <c r="H6" s="24">
        <v>7.0</v>
      </c>
      <c r="I6" s="1" t="s">
        <v>263</v>
      </c>
      <c r="J6" s="24">
        <v>8.0</v>
      </c>
      <c r="K6" s="1" t="s">
        <v>72</v>
      </c>
      <c r="L6" s="24">
        <v>4.0</v>
      </c>
      <c r="M6" s="26" t="s">
        <v>62</v>
      </c>
    </row>
    <row r="7">
      <c r="A7" s="21"/>
      <c r="B7" s="22" t="s">
        <v>62</v>
      </c>
      <c r="D7" s="25"/>
      <c r="F7" s="25"/>
      <c r="G7" s="1" t="s">
        <v>264</v>
      </c>
      <c r="H7" s="24">
        <v>5.0</v>
      </c>
      <c r="I7" s="1" t="s">
        <v>66</v>
      </c>
      <c r="J7" s="24">
        <v>1.0</v>
      </c>
      <c r="L7" s="25"/>
      <c r="M7" s="26" t="s">
        <v>62</v>
      </c>
    </row>
    <row r="8">
      <c r="A8" s="21"/>
      <c r="B8" s="27" t="s">
        <v>62</v>
      </c>
      <c r="C8" s="28"/>
      <c r="D8" s="29"/>
      <c r="E8" s="28"/>
      <c r="F8" s="29"/>
      <c r="G8" s="30" t="s">
        <v>169</v>
      </c>
      <c r="H8" s="31">
        <v>2.0</v>
      </c>
      <c r="I8" s="28"/>
      <c r="J8" s="29"/>
      <c r="K8" s="28"/>
      <c r="L8" s="29"/>
      <c r="M8" s="32" t="s">
        <v>62</v>
      </c>
    </row>
    <row r="9">
      <c r="A9" s="21"/>
      <c r="B9" s="22" t="s">
        <v>74</v>
      </c>
      <c r="C9" s="86" t="s">
        <v>75</v>
      </c>
      <c r="D9" s="35">
        <v>28.0</v>
      </c>
      <c r="E9" s="1" t="s">
        <v>93</v>
      </c>
      <c r="F9" s="24">
        <v>40.0</v>
      </c>
      <c r="G9" s="1" t="s">
        <v>265</v>
      </c>
      <c r="H9" s="24">
        <v>29.0</v>
      </c>
      <c r="I9" s="1" t="s">
        <v>266</v>
      </c>
      <c r="J9" s="24">
        <v>34.0</v>
      </c>
      <c r="K9" s="1" t="s">
        <v>267</v>
      </c>
      <c r="L9" s="24">
        <v>49.0</v>
      </c>
      <c r="M9" s="26" t="s">
        <v>74</v>
      </c>
    </row>
    <row r="10">
      <c r="A10" s="21"/>
      <c r="B10" s="22" t="s">
        <v>74</v>
      </c>
      <c r="C10" s="1" t="s">
        <v>268</v>
      </c>
      <c r="D10" s="24">
        <v>11.0</v>
      </c>
      <c r="E10" s="1" t="s">
        <v>82</v>
      </c>
      <c r="F10" s="24">
        <v>14.0</v>
      </c>
      <c r="G10" s="33" t="s">
        <v>269</v>
      </c>
      <c r="H10" s="34">
        <v>47.0</v>
      </c>
      <c r="I10" s="1" t="s">
        <v>270</v>
      </c>
      <c r="J10" s="24">
        <v>33.0</v>
      </c>
      <c r="K10" s="1" t="s">
        <v>271</v>
      </c>
      <c r="L10" s="24">
        <v>35.0</v>
      </c>
      <c r="M10" s="26" t="s">
        <v>74</v>
      </c>
    </row>
    <row r="11">
      <c r="A11" s="21"/>
      <c r="B11" s="22" t="s">
        <v>74</v>
      </c>
      <c r="C11" s="1" t="s">
        <v>272</v>
      </c>
      <c r="D11" s="24">
        <v>9.0</v>
      </c>
      <c r="E11" s="1" t="s">
        <v>88</v>
      </c>
      <c r="F11" s="24">
        <v>6.0</v>
      </c>
      <c r="G11" s="1" t="s">
        <v>77</v>
      </c>
      <c r="H11" s="24">
        <v>8.0</v>
      </c>
      <c r="I11" s="1" t="s">
        <v>78</v>
      </c>
      <c r="J11" s="24">
        <v>7.0</v>
      </c>
      <c r="K11" s="1" t="s">
        <v>79</v>
      </c>
      <c r="L11" s="24">
        <v>17.0</v>
      </c>
      <c r="M11" s="26" t="s">
        <v>74</v>
      </c>
    </row>
    <row r="12">
      <c r="A12" s="21"/>
      <c r="B12" s="22" t="s">
        <v>74</v>
      </c>
      <c r="C12" s="1" t="s">
        <v>273</v>
      </c>
      <c r="D12" s="24">
        <v>8.0</v>
      </c>
      <c r="E12" s="1" t="s">
        <v>94</v>
      </c>
      <c r="F12" s="24">
        <v>6.0</v>
      </c>
      <c r="G12" s="1" t="s">
        <v>177</v>
      </c>
      <c r="H12" s="24">
        <v>6.0</v>
      </c>
      <c r="I12" s="1" t="s">
        <v>274</v>
      </c>
      <c r="J12" s="24">
        <v>6.0</v>
      </c>
      <c r="K12" s="1" t="s">
        <v>85</v>
      </c>
      <c r="L12" s="24">
        <v>12.0</v>
      </c>
      <c r="M12" s="26" t="s">
        <v>74</v>
      </c>
    </row>
    <row r="13">
      <c r="A13" s="21"/>
      <c r="B13" s="22" t="s">
        <v>74</v>
      </c>
      <c r="C13" s="86" t="s">
        <v>275</v>
      </c>
      <c r="D13" s="35">
        <v>16.0</v>
      </c>
      <c r="E13" s="1" t="s">
        <v>100</v>
      </c>
      <c r="F13" s="24">
        <v>6.0</v>
      </c>
      <c r="G13" s="1" t="s">
        <v>163</v>
      </c>
      <c r="H13" s="24">
        <v>6.0</v>
      </c>
      <c r="I13" s="1" t="s">
        <v>84</v>
      </c>
      <c r="J13" s="24">
        <v>4.0</v>
      </c>
      <c r="K13" s="1" t="s">
        <v>276</v>
      </c>
      <c r="L13" s="24">
        <v>4.0</v>
      </c>
      <c r="M13" s="26" t="s">
        <v>74</v>
      </c>
    </row>
    <row r="14">
      <c r="A14" s="21"/>
      <c r="B14" s="22" t="s">
        <v>74</v>
      </c>
      <c r="C14" s="1" t="s">
        <v>87</v>
      </c>
      <c r="D14" s="24">
        <v>6.0</v>
      </c>
      <c r="F14" s="25"/>
      <c r="G14" s="1" t="s">
        <v>95</v>
      </c>
      <c r="H14" s="24">
        <v>2.0</v>
      </c>
      <c r="I14" s="1" t="s">
        <v>90</v>
      </c>
      <c r="J14" s="24">
        <v>1.0</v>
      </c>
      <c r="L14" s="25"/>
      <c r="M14" s="22" t="s">
        <v>74</v>
      </c>
    </row>
    <row r="15">
      <c r="A15" s="21"/>
      <c r="B15" s="22" t="s">
        <v>74</v>
      </c>
      <c r="C15" s="87" t="s">
        <v>277</v>
      </c>
      <c r="D15" s="37">
        <v>4.0</v>
      </c>
      <c r="F15" s="25"/>
      <c r="G15" s="1"/>
      <c r="H15" s="24"/>
      <c r="I15" s="1"/>
      <c r="J15" s="24"/>
      <c r="L15" s="25"/>
      <c r="M15" s="22" t="s">
        <v>74</v>
      </c>
    </row>
    <row r="16">
      <c r="A16" s="21"/>
      <c r="B16" s="27" t="s">
        <v>74</v>
      </c>
      <c r="C16" s="30" t="s">
        <v>278</v>
      </c>
      <c r="D16" s="31">
        <v>2.0</v>
      </c>
      <c r="E16" s="28"/>
      <c r="F16" s="29"/>
      <c r="G16" s="28"/>
      <c r="H16" s="29"/>
      <c r="I16" s="28"/>
      <c r="J16" s="29"/>
      <c r="K16" s="28"/>
      <c r="L16" s="29"/>
      <c r="M16" s="32" t="s">
        <v>74</v>
      </c>
    </row>
    <row r="17">
      <c r="A17" s="21"/>
      <c r="B17" s="22" t="s">
        <v>105</v>
      </c>
      <c r="C17" s="1" t="s">
        <v>279</v>
      </c>
      <c r="D17" s="24">
        <v>16.0</v>
      </c>
      <c r="E17" s="1" t="s">
        <v>212</v>
      </c>
      <c r="F17" s="24">
        <v>50.0</v>
      </c>
      <c r="G17" s="1" t="s">
        <v>106</v>
      </c>
      <c r="H17" s="24">
        <v>42.0</v>
      </c>
      <c r="I17" s="1" t="s">
        <v>280</v>
      </c>
      <c r="J17" s="24">
        <v>29.0</v>
      </c>
      <c r="K17" s="1" t="s">
        <v>281</v>
      </c>
      <c r="L17" s="24">
        <v>32.0</v>
      </c>
      <c r="M17" s="26" t="s">
        <v>105</v>
      </c>
    </row>
    <row r="18">
      <c r="A18" s="21"/>
      <c r="B18" s="22" t="s">
        <v>105</v>
      </c>
      <c r="C18" s="1" t="s">
        <v>118</v>
      </c>
      <c r="D18" s="24">
        <v>13.0</v>
      </c>
      <c r="E18" s="1" t="s">
        <v>107</v>
      </c>
      <c r="F18" s="24">
        <v>43.0</v>
      </c>
      <c r="G18" s="1" t="s">
        <v>108</v>
      </c>
      <c r="H18" s="24">
        <v>24.0</v>
      </c>
      <c r="I18" s="1" t="s">
        <v>109</v>
      </c>
      <c r="J18" s="24">
        <v>25.0</v>
      </c>
      <c r="K18" s="1" t="s">
        <v>282</v>
      </c>
      <c r="L18" s="24">
        <v>19.0</v>
      </c>
      <c r="M18" s="26" t="s">
        <v>105</v>
      </c>
    </row>
    <row r="19">
      <c r="A19" s="21"/>
      <c r="B19" s="22" t="s">
        <v>105</v>
      </c>
      <c r="C19" s="1" t="s">
        <v>283</v>
      </c>
      <c r="D19" s="24">
        <v>20.0</v>
      </c>
      <c r="E19" s="1" t="s">
        <v>113</v>
      </c>
      <c r="F19" s="24">
        <v>18.0</v>
      </c>
      <c r="G19" s="86" t="s">
        <v>114</v>
      </c>
      <c r="H19" s="35">
        <v>9.0</v>
      </c>
      <c r="I19" s="1" t="s">
        <v>115</v>
      </c>
      <c r="J19" s="24">
        <v>23.0</v>
      </c>
      <c r="K19" s="1" t="s">
        <v>110</v>
      </c>
      <c r="L19" s="24">
        <v>17.0</v>
      </c>
      <c r="M19" s="26" t="s">
        <v>105</v>
      </c>
    </row>
    <row r="20">
      <c r="A20" s="21"/>
      <c r="B20" s="22" t="s">
        <v>105</v>
      </c>
      <c r="C20" s="1" t="s">
        <v>124</v>
      </c>
      <c r="D20" s="24">
        <v>3.0</v>
      </c>
      <c r="E20" s="1" t="s">
        <v>119</v>
      </c>
      <c r="F20" s="24">
        <v>6.0</v>
      </c>
      <c r="G20" s="1" t="s">
        <v>284</v>
      </c>
      <c r="H20" s="24">
        <v>7.0</v>
      </c>
      <c r="I20" s="1" t="s">
        <v>121</v>
      </c>
      <c r="J20" s="24">
        <v>12.0</v>
      </c>
      <c r="K20" s="1" t="s">
        <v>116</v>
      </c>
      <c r="L20" s="24">
        <v>17.0</v>
      </c>
      <c r="M20" s="26" t="s">
        <v>105</v>
      </c>
    </row>
    <row r="21">
      <c r="A21" s="21"/>
      <c r="B21" s="22" t="s">
        <v>105</v>
      </c>
      <c r="C21" s="1" t="s">
        <v>285</v>
      </c>
      <c r="D21" s="24">
        <v>6.0</v>
      </c>
      <c r="F21" s="25"/>
      <c r="G21" s="1" t="s">
        <v>252</v>
      </c>
      <c r="H21" s="24">
        <v>4.0</v>
      </c>
      <c r="I21" s="1" t="s">
        <v>286</v>
      </c>
      <c r="J21" s="24">
        <v>8.0</v>
      </c>
      <c r="K21" s="1" t="s">
        <v>287</v>
      </c>
      <c r="L21" s="24">
        <v>7.0</v>
      </c>
      <c r="M21" s="26" t="s">
        <v>105</v>
      </c>
    </row>
    <row r="22">
      <c r="A22" s="21"/>
      <c r="B22" s="22" t="s">
        <v>105</v>
      </c>
      <c r="C22" s="1" t="s">
        <v>288</v>
      </c>
      <c r="D22" s="24">
        <v>5.0</v>
      </c>
      <c r="F22" s="25"/>
      <c r="G22" s="1" t="s">
        <v>125</v>
      </c>
      <c r="H22" s="24">
        <v>2.0</v>
      </c>
      <c r="I22" s="1" t="s">
        <v>126</v>
      </c>
      <c r="J22" s="24">
        <v>6.0</v>
      </c>
      <c r="K22" s="1" t="s">
        <v>122</v>
      </c>
      <c r="L22" s="24">
        <v>6.0</v>
      </c>
      <c r="M22" s="26" t="s">
        <v>105</v>
      </c>
    </row>
    <row r="23">
      <c r="A23" s="21"/>
      <c r="B23" s="27" t="s">
        <v>105</v>
      </c>
      <c r="C23" s="30"/>
      <c r="D23" s="31"/>
      <c r="E23" s="28"/>
      <c r="F23" s="29"/>
      <c r="G23" s="30" t="s">
        <v>289</v>
      </c>
      <c r="H23" s="31">
        <v>2.0</v>
      </c>
      <c r="I23" s="30" t="s">
        <v>290</v>
      </c>
      <c r="J23" s="31">
        <v>3.0</v>
      </c>
      <c r="K23" s="30" t="s">
        <v>291</v>
      </c>
      <c r="L23" s="31">
        <v>4.0</v>
      </c>
      <c r="M23" s="32" t="s">
        <v>105</v>
      </c>
    </row>
    <row r="24">
      <c r="A24" s="21"/>
      <c r="B24" s="22" t="s">
        <v>135</v>
      </c>
      <c r="C24" s="1" t="s">
        <v>221</v>
      </c>
      <c r="D24" s="24">
        <v>7.0</v>
      </c>
      <c r="E24" s="1" t="s">
        <v>292</v>
      </c>
      <c r="F24" s="24">
        <v>26.0</v>
      </c>
      <c r="G24" s="1" t="s">
        <v>138</v>
      </c>
      <c r="H24" s="24">
        <v>19.0</v>
      </c>
      <c r="I24" s="1" t="s">
        <v>219</v>
      </c>
      <c r="J24" s="24">
        <v>29.0</v>
      </c>
      <c r="K24" s="1" t="s">
        <v>293</v>
      </c>
      <c r="L24" s="24">
        <v>6.0</v>
      </c>
      <c r="M24" s="26" t="s">
        <v>135</v>
      </c>
    </row>
    <row r="25">
      <c r="A25" s="21"/>
      <c r="B25" s="22" t="s">
        <v>135</v>
      </c>
      <c r="C25" s="1" t="s">
        <v>294</v>
      </c>
      <c r="D25" s="24">
        <v>3.0</v>
      </c>
      <c r="E25" s="1" t="s">
        <v>145</v>
      </c>
      <c r="F25" s="24">
        <v>2.0</v>
      </c>
      <c r="H25" s="24"/>
      <c r="I25" s="1" t="s">
        <v>295</v>
      </c>
      <c r="J25" s="24">
        <v>5.0</v>
      </c>
      <c r="K25" s="1" t="s">
        <v>140</v>
      </c>
      <c r="L25" s="24">
        <v>3.0</v>
      </c>
      <c r="M25" s="26" t="s">
        <v>135</v>
      </c>
    </row>
    <row r="26">
      <c r="A26" s="21"/>
      <c r="B26" s="27" t="s">
        <v>135</v>
      </c>
      <c r="C26" s="30"/>
      <c r="D26" s="31"/>
      <c r="E26" s="28"/>
      <c r="F26" s="29"/>
      <c r="G26" s="28"/>
      <c r="H26" s="29"/>
      <c r="I26" s="30" t="s">
        <v>139</v>
      </c>
      <c r="J26" s="31">
        <v>1.0</v>
      </c>
      <c r="K26" s="28"/>
      <c r="L26" s="29"/>
      <c r="M26" s="32" t="s">
        <v>135</v>
      </c>
    </row>
    <row r="27">
      <c r="A27" s="21"/>
      <c r="B27" s="22" t="s">
        <v>146</v>
      </c>
      <c r="C27" s="1" t="s">
        <v>147</v>
      </c>
      <c r="D27" s="24">
        <v>1.0</v>
      </c>
      <c r="F27" s="25"/>
      <c r="G27" s="1" t="s">
        <v>149</v>
      </c>
      <c r="H27" s="24">
        <v>4.0</v>
      </c>
      <c r="I27" s="1" t="s">
        <v>150</v>
      </c>
      <c r="J27" s="24">
        <v>1.0</v>
      </c>
      <c r="K27" s="1" t="s">
        <v>148</v>
      </c>
      <c r="L27" s="24">
        <v>4.0</v>
      </c>
      <c r="M27" s="26" t="s">
        <v>146</v>
      </c>
    </row>
    <row r="28">
      <c r="A28" s="21"/>
      <c r="B28" s="27" t="s">
        <v>146</v>
      </c>
      <c r="C28" s="28"/>
      <c r="D28" s="29"/>
      <c r="E28" s="28"/>
      <c r="F28" s="29"/>
      <c r="G28" s="28"/>
      <c r="H28" s="29"/>
      <c r="I28" s="28"/>
      <c r="J28" s="29"/>
      <c r="K28" s="28"/>
      <c r="L28" s="29"/>
      <c r="M28" s="32" t="s">
        <v>146</v>
      </c>
    </row>
    <row r="29">
      <c r="A29" s="21"/>
      <c r="B29" s="22" t="s">
        <v>153</v>
      </c>
      <c r="C29" s="1" t="s">
        <v>154</v>
      </c>
      <c r="D29" s="24">
        <v>1.0</v>
      </c>
      <c r="E29" s="1" t="s">
        <v>155</v>
      </c>
      <c r="F29" s="24">
        <v>1.0</v>
      </c>
      <c r="G29" s="1" t="s">
        <v>156</v>
      </c>
      <c r="H29" s="24">
        <v>1.0</v>
      </c>
      <c r="I29" s="1" t="s">
        <v>157</v>
      </c>
      <c r="J29" s="24">
        <v>1.0</v>
      </c>
      <c r="K29" s="1" t="s">
        <v>158</v>
      </c>
      <c r="L29" s="24">
        <v>3.0</v>
      </c>
      <c r="M29" s="26" t="s">
        <v>153</v>
      </c>
    </row>
    <row r="30">
      <c r="A30" s="21"/>
      <c r="B30" s="27" t="s">
        <v>153</v>
      </c>
      <c r="C30" s="28"/>
      <c r="D30" s="29"/>
      <c r="E30" s="28"/>
      <c r="F30" s="29"/>
      <c r="G30" s="28"/>
      <c r="H30" s="29"/>
      <c r="I30" s="28"/>
      <c r="J30" s="29"/>
      <c r="K30" s="28"/>
      <c r="L30" s="29"/>
      <c r="M30" s="32" t="s">
        <v>153</v>
      </c>
    </row>
    <row r="31">
      <c r="A31" s="21"/>
      <c r="B31" s="22" t="s">
        <v>239</v>
      </c>
      <c r="C31" s="1" t="s">
        <v>296</v>
      </c>
      <c r="D31" s="24">
        <v>1.0</v>
      </c>
      <c r="F31" s="25"/>
      <c r="G31" s="1" t="s">
        <v>297</v>
      </c>
      <c r="H31" s="24">
        <v>8.0</v>
      </c>
      <c r="J31" s="24"/>
      <c r="L31" s="24"/>
      <c r="M31" s="26" t="s">
        <v>239</v>
      </c>
    </row>
    <row r="32">
      <c r="A32" s="21"/>
      <c r="B32" s="22" t="s">
        <v>160</v>
      </c>
      <c r="C32" s="46" t="s">
        <v>298</v>
      </c>
      <c r="D32" s="47">
        <v>3.0</v>
      </c>
      <c r="E32" s="48"/>
      <c r="F32" s="49"/>
      <c r="G32" s="46" t="s">
        <v>299</v>
      </c>
      <c r="H32" s="47">
        <v>3.0</v>
      </c>
      <c r="I32" s="48"/>
      <c r="J32" s="49"/>
      <c r="K32" s="46" t="s">
        <v>81</v>
      </c>
      <c r="L32" s="47">
        <v>3.0</v>
      </c>
      <c r="M32" s="26" t="s">
        <v>160</v>
      </c>
    </row>
    <row r="33">
      <c r="A33" s="21"/>
      <c r="B33" s="22" t="s">
        <v>160</v>
      </c>
      <c r="C33" s="46" t="s">
        <v>300</v>
      </c>
      <c r="D33" s="47">
        <v>5.0</v>
      </c>
      <c r="E33" s="48"/>
      <c r="F33" s="49"/>
      <c r="G33" s="48"/>
      <c r="H33" s="49"/>
      <c r="I33" s="48"/>
      <c r="J33" s="49"/>
      <c r="K33" s="46" t="s">
        <v>301</v>
      </c>
      <c r="L33" s="47">
        <v>2.0</v>
      </c>
      <c r="M33" s="26" t="s">
        <v>160</v>
      </c>
    </row>
    <row r="34">
      <c r="A34" s="21"/>
      <c r="B34" s="51" t="s">
        <v>160</v>
      </c>
      <c r="C34" s="52"/>
      <c r="D34" s="53"/>
      <c r="E34" s="52"/>
      <c r="F34" s="53"/>
      <c r="G34" s="52"/>
      <c r="H34" s="53"/>
      <c r="I34" s="52"/>
      <c r="J34" s="53"/>
      <c r="K34" s="52"/>
      <c r="L34" s="53"/>
      <c r="M34" s="56" t="s">
        <v>160</v>
      </c>
    </row>
    <row r="35">
      <c r="C35" s="58" t="s">
        <v>165</v>
      </c>
      <c r="D35" s="59">
        <v>250.0</v>
      </c>
      <c r="E35" s="58" t="s">
        <v>165</v>
      </c>
      <c r="F35" s="59">
        <v>250.0</v>
      </c>
      <c r="G35" s="58" t="s">
        <v>165</v>
      </c>
      <c r="H35" s="59">
        <v>250.0</v>
      </c>
      <c r="I35" s="58" t="s">
        <v>165</v>
      </c>
      <c r="J35" s="59">
        <v>250.0</v>
      </c>
      <c r="K35" s="58" t="s">
        <v>165</v>
      </c>
      <c r="L35" s="59">
        <v>250.0</v>
      </c>
    </row>
    <row r="36">
      <c r="C36" s="58" t="s">
        <v>166</v>
      </c>
      <c r="D36" s="60">
        <f>SUM(D5:D34)</f>
        <v>201</v>
      </c>
      <c r="E36" s="58" t="s">
        <v>166</v>
      </c>
      <c r="F36" s="60">
        <f>SUM(F5:F34)</f>
        <v>244</v>
      </c>
      <c r="G36" s="58" t="s">
        <v>166</v>
      </c>
      <c r="H36" s="60">
        <f>SUM(H5:H34)</f>
        <v>245</v>
      </c>
      <c r="I36" s="58" t="s">
        <v>166</v>
      </c>
      <c r="J36" s="60">
        <f>SUM(J5:J34)</f>
        <v>250</v>
      </c>
      <c r="K36" s="58" t="s">
        <v>166</v>
      </c>
      <c r="L36" s="60">
        <f>SUM(L5:L34)</f>
        <v>250</v>
      </c>
    </row>
    <row r="37">
      <c r="C37" s="58" t="s">
        <v>167</v>
      </c>
      <c r="D37" s="60">
        <f>D35-D36</f>
        <v>49</v>
      </c>
      <c r="E37" s="58" t="s">
        <v>167</v>
      </c>
      <c r="F37" s="60">
        <f>F35-F36</f>
        <v>6</v>
      </c>
      <c r="G37" s="58" t="s">
        <v>167</v>
      </c>
      <c r="H37" s="60">
        <f>H35-H36</f>
        <v>5</v>
      </c>
      <c r="I37" s="58" t="s">
        <v>167</v>
      </c>
      <c r="J37" s="60">
        <f>J35-J36</f>
        <v>0</v>
      </c>
      <c r="K37" s="58" t="s">
        <v>167</v>
      </c>
      <c r="L37" s="60">
        <f>L35-L36</f>
        <v>0</v>
      </c>
    </row>
    <row r="42">
      <c r="A42" s="5"/>
      <c r="B42" s="5"/>
      <c r="C42" s="9" t="s">
        <v>168</v>
      </c>
      <c r="D42" s="10"/>
      <c r="E42" s="61" t="s">
        <v>18</v>
      </c>
      <c r="F42" s="10"/>
      <c r="G42" s="10" t="s">
        <v>21</v>
      </c>
      <c r="H42" s="10"/>
      <c r="I42" s="10" t="s">
        <v>24</v>
      </c>
      <c r="J42" s="10"/>
      <c r="K42" s="10" t="s">
        <v>26</v>
      </c>
      <c r="L42" s="62"/>
      <c r="M42" s="5"/>
    </row>
    <row r="43">
      <c r="A43" s="11"/>
      <c r="B43" s="63" t="s">
        <v>60</v>
      </c>
      <c r="C43" s="64" t="s">
        <v>4</v>
      </c>
      <c r="D43" s="19" t="s">
        <v>61</v>
      </c>
      <c r="E43" s="64" t="s">
        <v>4</v>
      </c>
      <c r="F43" s="19" t="s">
        <v>61</v>
      </c>
      <c r="G43" s="64" t="s">
        <v>4</v>
      </c>
      <c r="H43" s="19" t="s">
        <v>61</v>
      </c>
      <c r="I43" s="64" t="s">
        <v>4</v>
      </c>
      <c r="J43" s="19" t="s">
        <v>61</v>
      </c>
      <c r="K43" s="64" t="s">
        <v>4</v>
      </c>
      <c r="L43" s="19" t="s">
        <v>61</v>
      </c>
      <c r="M43" s="65" t="s">
        <v>60</v>
      </c>
    </row>
    <row r="44">
      <c r="A44" s="59"/>
      <c r="B44" s="22" t="s">
        <v>62</v>
      </c>
      <c r="C44" s="1" t="s">
        <v>175</v>
      </c>
      <c r="D44" s="24">
        <v>21.0</v>
      </c>
      <c r="E44" s="1" t="s">
        <v>170</v>
      </c>
      <c r="F44" s="24">
        <v>16.0</v>
      </c>
      <c r="G44" s="1" t="s">
        <v>171</v>
      </c>
      <c r="H44" s="24">
        <v>9.0</v>
      </c>
      <c r="I44" s="1" t="s">
        <v>69</v>
      </c>
      <c r="J44" s="24">
        <v>9.0</v>
      </c>
      <c r="K44" s="1" t="s">
        <v>172</v>
      </c>
      <c r="L44" s="24">
        <v>17.0</v>
      </c>
      <c r="M44" s="26" t="s">
        <v>62</v>
      </c>
    </row>
    <row r="45">
      <c r="A45" s="59"/>
      <c r="B45" s="22" t="s">
        <v>62</v>
      </c>
      <c r="C45" s="1" t="s">
        <v>65</v>
      </c>
      <c r="D45" s="24">
        <v>10.0</v>
      </c>
      <c r="E45" s="1" t="s">
        <v>173</v>
      </c>
      <c r="F45" s="24">
        <v>6.0</v>
      </c>
      <c r="G45" s="1" t="s">
        <v>174</v>
      </c>
      <c r="H45" s="24">
        <v>3.0</v>
      </c>
      <c r="J45" s="25"/>
      <c r="L45" s="25"/>
      <c r="M45" s="26" t="s">
        <v>62</v>
      </c>
    </row>
    <row r="46">
      <c r="A46" s="59"/>
      <c r="B46" s="22" t="s">
        <v>62</v>
      </c>
      <c r="D46" s="25"/>
      <c r="F46" s="25"/>
      <c r="H46" s="25"/>
      <c r="J46" s="25"/>
      <c r="L46" s="25"/>
      <c r="M46" s="26" t="s">
        <v>62</v>
      </c>
    </row>
    <row r="47">
      <c r="A47" s="59"/>
      <c r="B47" s="27" t="s">
        <v>62</v>
      </c>
      <c r="C47" s="28"/>
      <c r="D47" s="29"/>
      <c r="E47" s="28"/>
      <c r="F47" s="29"/>
      <c r="G47" s="28"/>
      <c r="H47" s="29"/>
      <c r="I47" s="28"/>
      <c r="J47" s="29"/>
      <c r="K47" s="28"/>
      <c r="L47" s="29"/>
      <c r="M47" s="32" t="s">
        <v>62</v>
      </c>
    </row>
    <row r="48">
      <c r="A48" s="59"/>
      <c r="B48" s="22" t="s">
        <v>74</v>
      </c>
      <c r="C48" s="1" t="s">
        <v>186</v>
      </c>
      <c r="D48" s="24">
        <v>55.0</v>
      </c>
      <c r="E48" s="1" t="s">
        <v>178</v>
      </c>
      <c r="F48" s="24">
        <v>33.0</v>
      </c>
      <c r="G48" s="1" t="s">
        <v>179</v>
      </c>
      <c r="H48" s="24">
        <v>32.0</v>
      </c>
      <c r="I48" s="1" t="s">
        <v>80</v>
      </c>
      <c r="J48" s="24">
        <v>46.0</v>
      </c>
      <c r="K48" s="1" t="s">
        <v>180</v>
      </c>
      <c r="L48" s="24">
        <v>58.0</v>
      </c>
      <c r="M48" s="26" t="s">
        <v>74</v>
      </c>
    </row>
    <row r="49">
      <c r="A49" s="59"/>
      <c r="B49" s="22" t="s">
        <v>74</v>
      </c>
      <c r="C49" s="1" t="s">
        <v>258</v>
      </c>
      <c r="D49" s="24">
        <v>28.0</v>
      </c>
      <c r="E49" s="1" t="s">
        <v>91</v>
      </c>
      <c r="F49" s="24">
        <v>27.0</v>
      </c>
      <c r="G49" s="1" t="s">
        <v>183</v>
      </c>
      <c r="H49" s="24">
        <v>31.0</v>
      </c>
      <c r="I49" s="1" t="s">
        <v>302</v>
      </c>
      <c r="J49" s="24">
        <v>16.0</v>
      </c>
      <c r="K49" s="1" t="s">
        <v>184</v>
      </c>
      <c r="L49" s="24">
        <v>37.0</v>
      </c>
      <c r="M49" s="26" t="s">
        <v>74</v>
      </c>
    </row>
    <row r="50">
      <c r="A50" s="59"/>
      <c r="B50" s="22" t="s">
        <v>74</v>
      </c>
      <c r="C50" s="1" t="s">
        <v>181</v>
      </c>
      <c r="D50" s="24">
        <v>12.0</v>
      </c>
      <c r="E50" s="1" t="s">
        <v>182</v>
      </c>
      <c r="F50" s="24">
        <v>17.0</v>
      </c>
      <c r="G50" s="1" t="s">
        <v>187</v>
      </c>
      <c r="H50" s="24">
        <v>20.0</v>
      </c>
      <c r="I50" s="1" t="s">
        <v>303</v>
      </c>
      <c r="J50" s="24">
        <v>9.0</v>
      </c>
      <c r="K50" s="1" t="s">
        <v>304</v>
      </c>
      <c r="L50" s="24">
        <v>8.0</v>
      </c>
      <c r="M50" s="26" t="s">
        <v>74</v>
      </c>
    </row>
    <row r="51">
      <c r="A51" s="59"/>
      <c r="B51" s="22" t="s">
        <v>74</v>
      </c>
      <c r="C51" s="1" t="s">
        <v>305</v>
      </c>
      <c r="D51" s="24">
        <v>9.0</v>
      </c>
      <c r="E51" s="1" t="s">
        <v>306</v>
      </c>
      <c r="F51" s="24">
        <v>8.0</v>
      </c>
      <c r="G51" s="1" t="s">
        <v>307</v>
      </c>
      <c r="H51" s="24">
        <v>12.0</v>
      </c>
      <c r="I51" s="1" t="s">
        <v>308</v>
      </c>
      <c r="J51" s="24">
        <v>7.0</v>
      </c>
      <c r="K51" s="1" t="s">
        <v>188</v>
      </c>
      <c r="L51" s="24">
        <v>2.0</v>
      </c>
      <c r="M51" s="26" t="s">
        <v>74</v>
      </c>
    </row>
    <row r="52">
      <c r="A52" s="59"/>
      <c r="B52" s="22" t="s">
        <v>74</v>
      </c>
      <c r="C52" s="1" t="s">
        <v>309</v>
      </c>
      <c r="D52" s="24">
        <v>5.0</v>
      </c>
      <c r="F52" s="24"/>
      <c r="G52" s="1" t="s">
        <v>310</v>
      </c>
      <c r="H52" s="24">
        <v>11.0</v>
      </c>
      <c r="I52" s="1" t="s">
        <v>92</v>
      </c>
      <c r="J52" s="24">
        <v>5.0</v>
      </c>
      <c r="K52" s="1" t="s">
        <v>192</v>
      </c>
      <c r="L52" s="24">
        <v>1.0</v>
      </c>
      <c r="M52" s="26" t="s">
        <v>74</v>
      </c>
    </row>
    <row r="53">
      <c r="A53" s="59"/>
      <c r="B53" s="22" t="s">
        <v>74</v>
      </c>
      <c r="C53" s="1" t="s">
        <v>311</v>
      </c>
      <c r="D53" s="24">
        <v>3.0</v>
      </c>
      <c r="F53" s="25"/>
      <c r="H53" s="25"/>
      <c r="I53" s="1" t="s">
        <v>312</v>
      </c>
      <c r="J53" s="24">
        <v>1.0</v>
      </c>
      <c r="K53" s="1"/>
      <c r="L53" s="24"/>
      <c r="M53" s="26" t="s">
        <v>74</v>
      </c>
    </row>
    <row r="54">
      <c r="A54" s="59"/>
      <c r="B54" s="27" t="s">
        <v>74</v>
      </c>
      <c r="C54" s="30" t="s">
        <v>313</v>
      </c>
      <c r="D54" s="31">
        <v>2.0</v>
      </c>
      <c r="E54" s="30"/>
      <c r="F54" s="31"/>
      <c r="G54" s="30"/>
      <c r="H54" s="31"/>
      <c r="I54" s="30"/>
      <c r="J54" s="31"/>
      <c r="K54" s="28"/>
      <c r="L54" s="29"/>
      <c r="M54" s="32" t="s">
        <v>74</v>
      </c>
    </row>
    <row r="55">
      <c r="A55" s="59"/>
      <c r="B55" s="22" t="s">
        <v>105</v>
      </c>
      <c r="C55" s="1" t="s">
        <v>195</v>
      </c>
      <c r="D55" s="24">
        <v>26.0</v>
      </c>
      <c r="E55" s="1" t="s">
        <v>196</v>
      </c>
      <c r="F55" s="24">
        <v>35.0</v>
      </c>
      <c r="G55" s="1" t="s">
        <v>34</v>
      </c>
      <c r="H55" s="24">
        <v>45.0</v>
      </c>
      <c r="I55" s="1" t="s">
        <v>111</v>
      </c>
      <c r="J55" s="24">
        <v>45.0</v>
      </c>
      <c r="K55" s="1" t="s">
        <v>198</v>
      </c>
      <c r="L55" s="24">
        <v>22.0</v>
      </c>
      <c r="M55" s="26" t="s">
        <v>105</v>
      </c>
    </row>
    <row r="56">
      <c r="A56" s="59"/>
      <c r="B56" s="22" t="s">
        <v>105</v>
      </c>
      <c r="C56" s="1" t="s">
        <v>199</v>
      </c>
      <c r="D56" s="24">
        <v>12.0</v>
      </c>
      <c r="E56" s="1" t="s">
        <v>200</v>
      </c>
      <c r="F56" s="24">
        <v>22.0</v>
      </c>
      <c r="G56" s="1" t="s">
        <v>197</v>
      </c>
      <c r="H56" s="24">
        <v>21.0</v>
      </c>
      <c r="I56" s="1" t="s">
        <v>314</v>
      </c>
      <c r="J56" s="24">
        <v>16.0</v>
      </c>
      <c r="K56" s="1" t="s">
        <v>202</v>
      </c>
      <c r="L56" s="24">
        <v>18.0</v>
      </c>
      <c r="M56" s="26" t="s">
        <v>105</v>
      </c>
    </row>
    <row r="57">
      <c r="A57" s="59"/>
      <c r="B57" s="22" t="s">
        <v>105</v>
      </c>
      <c r="C57" s="1" t="s">
        <v>203</v>
      </c>
      <c r="D57" s="24">
        <v>11.0</v>
      </c>
      <c r="E57" s="1" t="s">
        <v>204</v>
      </c>
      <c r="F57" s="24">
        <v>20.0</v>
      </c>
      <c r="G57" s="1" t="s">
        <v>201</v>
      </c>
      <c r="H57" s="24">
        <v>19.0</v>
      </c>
      <c r="I57" s="1" t="s">
        <v>123</v>
      </c>
      <c r="J57" s="24">
        <v>14.0</v>
      </c>
      <c r="K57" s="1" t="s">
        <v>315</v>
      </c>
      <c r="L57" s="24">
        <v>13.0</v>
      </c>
      <c r="M57" s="26" t="s">
        <v>105</v>
      </c>
    </row>
    <row r="58">
      <c r="A58" s="59"/>
      <c r="B58" s="22" t="s">
        <v>105</v>
      </c>
      <c r="C58" s="1" t="s">
        <v>316</v>
      </c>
      <c r="D58" s="24">
        <v>6.0</v>
      </c>
      <c r="E58" s="1" t="s">
        <v>207</v>
      </c>
      <c r="F58" s="24">
        <v>14.0</v>
      </c>
      <c r="G58" s="1" t="s">
        <v>317</v>
      </c>
      <c r="H58" s="24">
        <v>8.0</v>
      </c>
      <c r="I58" s="1" t="s">
        <v>318</v>
      </c>
      <c r="J58" s="24">
        <v>11.0</v>
      </c>
      <c r="K58" s="1" t="s">
        <v>319</v>
      </c>
      <c r="L58" s="24">
        <v>11.0</v>
      </c>
      <c r="M58" s="26" t="s">
        <v>105</v>
      </c>
    </row>
    <row r="59">
      <c r="A59" s="59"/>
      <c r="B59" s="22" t="s">
        <v>105</v>
      </c>
      <c r="C59" s="1" t="s">
        <v>320</v>
      </c>
      <c r="D59" s="24">
        <v>5.0</v>
      </c>
      <c r="E59" s="1" t="s">
        <v>321</v>
      </c>
      <c r="F59" s="24">
        <v>6.0</v>
      </c>
      <c r="G59" s="1" t="s">
        <v>205</v>
      </c>
      <c r="H59" s="24">
        <v>7.0</v>
      </c>
      <c r="I59" s="1" t="s">
        <v>322</v>
      </c>
      <c r="J59" s="24">
        <v>7.0</v>
      </c>
      <c r="K59" s="1" t="s">
        <v>323</v>
      </c>
      <c r="L59" s="24">
        <v>6.0</v>
      </c>
      <c r="M59" s="26" t="s">
        <v>105</v>
      </c>
    </row>
    <row r="60">
      <c r="A60" s="59"/>
      <c r="B60" s="22" t="s">
        <v>105</v>
      </c>
      <c r="C60" s="1" t="s">
        <v>210</v>
      </c>
      <c r="D60" s="24">
        <v>7.0</v>
      </c>
      <c r="F60" s="25"/>
      <c r="H60" s="25"/>
      <c r="I60" s="1" t="s">
        <v>324</v>
      </c>
      <c r="J60" s="24">
        <v>5.0</v>
      </c>
      <c r="K60" s="1" t="s">
        <v>209</v>
      </c>
      <c r="L60" s="24">
        <v>4.0</v>
      </c>
      <c r="M60" s="26" t="s">
        <v>105</v>
      </c>
    </row>
    <row r="61">
      <c r="A61" s="59"/>
      <c r="B61" s="27" t="s">
        <v>105</v>
      </c>
      <c r="C61" s="30" t="s">
        <v>120</v>
      </c>
      <c r="D61" s="31">
        <v>3.0</v>
      </c>
      <c r="E61" s="28"/>
      <c r="F61" s="29"/>
      <c r="G61" s="28"/>
      <c r="H61" s="29"/>
      <c r="I61" s="30" t="s">
        <v>325</v>
      </c>
      <c r="J61" s="31">
        <v>3.0</v>
      </c>
      <c r="K61" s="28"/>
      <c r="L61" s="29"/>
      <c r="M61" s="32" t="s">
        <v>105</v>
      </c>
    </row>
    <row r="62">
      <c r="A62" s="59"/>
      <c r="B62" s="22" t="s">
        <v>135</v>
      </c>
      <c r="C62" s="1" t="s">
        <v>326</v>
      </c>
      <c r="D62" s="24">
        <v>27.0</v>
      </c>
      <c r="E62" s="1" t="s">
        <v>327</v>
      </c>
      <c r="F62" s="24">
        <v>15.0</v>
      </c>
      <c r="G62" s="1" t="s">
        <v>328</v>
      </c>
      <c r="H62" s="24">
        <v>15.0</v>
      </c>
      <c r="I62" s="1" t="s">
        <v>141</v>
      </c>
      <c r="J62" s="24">
        <v>4.0</v>
      </c>
      <c r="K62" s="1" t="s">
        <v>137</v>
      </c>
      <c r="L62" s="24">
        <v>20.0</v>
      </c>
      <c r="M62" s="26" t="s">
        <v>135</v>
      </c>
    </row>
    <row r="63">
      <c r="A63" s="59"/>
      <c r="B63" s="22" t="s">
        <v>135</v>
      </c>
      <c r="C63" s="1" t="s">
        <v>215</v>
      </c>
      <c r="D63" s="24">
        <v>1.0</v>
      </c>
      <c r="E63" s="1" t="s">
        <v>216</v>
      </c>
      <c r="F63" s="24">
        <v>4.0</v>
      </c>
      <c r="G63" s="1" t="s">
        <v>217</v>
      </c>
      <c r="H63" s="24">
        <v>8.0</v>
      </c>
      <c r="I63" s="1" t="s">
        <v>144</v>
      </c>
      <c r="J63" s="24">
        <v>3.0</v>
      </c>
      <c r="K63" s="1" t="s">
        <v>329</v>
      </c>
      <c r="L63" s="24">
        <v>1.0</v>
      </c>
      <c r="M63" s="26" t="s">
        <v>135</v>
      </c>
    </row>
    <row r="64">
      <c r="A64" s="59"/>
      <c r="B64" s="27" t="s">
        <v>135</v>
      </c>
      <c r="C64" s="28"/>
      <c r="D64" s="29"/>
      <c r="E64" s="28"/>
      <c r="F64" s="29"/>
      <c r="G64" s="28"/>
      <c r="H64" s="29"/>
      <c r="I64" s="28"/>
      <c r="J64" s="29"/>
      <c r="K64" s="28"/>
      <c r="L64" s="29"/>
      <c r="M64" s="32" t="s">
        <v>135</v>
      </c>
    </row>
    <row r="65">
      <c r="A65" s="59"/>
      <c r="B65" s="22" t="s">
        <v>146</v>
      </c>
      <c r="C65" s="1" t="s">
        <v>222</v>
      </c>
      <c r="D65" s="24">
        <v>5.0</v>
      </c>
      <c r="F65" s="25"/>
      <c r="G65" s="1" t="s">
        <v>224</v>
      </c>
      <c r="H65" s="24">
        <v>2.0</v>
      </c>
      <c r="I65" s="1" t="s">
        <v>152</v>
      </c>
      <c r="J65" s="24">
        <v>1.0</v>
      </c>
      <c r="K65" s="1" t="s">
        <v>225</v>
      </c>
      <c r="L65" s="24">
        <v>1.0</v>
      </c>
      <c r="M65" s="26" t="s">
        <v>146</v>
      </c>
    </row>
    <row r="66">
      <c r="A66" s="59"/>
      <c r="B66" s="27" t="s">
        <v>146</v>
      </c>
      <c r="C66" s="28"/>
      <c r="D66" s="29"/>
      <c r="E66" s="28"/>
      <c r="F66" s="29"/>
      <c r="G66" s="30" t="s">
        <v>226</v>
      </c>
      <c r="H66" s="31">
        <v>2.0</v>
      </c>
      <c r="I66" s="28"/>
      <c r="J66" s="29"/>
      <c r="K66" s="28"/>
      <c r="L66" s="29"/>
      <c r="M66" s="32" t="s">
        <v>146</v>
      </c>
    </row>
    <row r="67">
      <c r="A67" s="59"/>
      <c r="B67" s="22" t="s">
        <v>153</v>
      </c>
      <c r="C67" s="1" t="s">
        <v>330</v>
      </c>
      <c r="D67" s="24">
        <v>6.0</v>
      </c>
      <c r="F67" s="25"/>
      <c r="G67" s="1" t="s">
        <v>228</v>
      </c>
      <c r="H67" s="24">
        <v>2.0</v>
      </c>
      <c r="I67" s="1" t="s">
        <v>159</v>
      </c>
      <c r="J67" s="24">
        <v>1.0</v>
      </c>
      <c r="L67" s="25"/>
      <c r="M67" s="26" t="s">
        <v>153</v>
      </c>
    </row>
    <row r="68">
      <c r="A68" s="59"/>
      <c r="B68" s="27" t="s">
        <v>153</v>
      </c>
      <c r="C68" s="28"/>
      <c r="D68" s="29"/>
      <c r="E68" s="28"/>
      <c r="F68" s="29"/>
      <c r="G68" s="30" t="s">
        <v>230</v>
      </c>
      <c r="H68" s="31">
        <v>2.0</v>
      </c>
      <c r="I68" s="28"/>
      <c r="J68" s="29"/>
      <c r="K68" s="28"/>
      <c r="L68" s="29"/>
      <c r="M68" s="32" t="s">
        <v>153</v>
      </c>
    </row>
    <row r="69">
      <c r="A69" s="59"/>
      <c r="B69" s="27" t="s">
        <v>239</v>
      </c>
      <c r="C69" s="30" t="s">
        <v>331</v>
      </c>
      <c r="D69" s="31">
        <v>1.0</v>
      </c>
      <c r="E69" s="28"/>
      <c r="F69" s="29"/>
      <c r="G69" s="30"/>
      <c r="H69" s="31"/>
      <c r="I69" s="30" t="s">
        <v>128</v>
      </c>
      <c r="J69" s="31">
        <v>2.0</v>
      </c>
      <c r="K69" s="28"/>
      <c r="L69" s="29"/>
      <c r="M69" s="32" t="s">
        <v>239</v>
      </c>
    </row>
    <row r="70">
      <c r="A70" s="59"/>
      <c r="B70" s="22" t="s">
        <v>160</v>
      </c>
      <c r="C70" s="46" t="s">
        <v>332</v>
      </c>
      <c r="D70" s="47">
        <v>-5.0</v>
      </c>
      <c r="E70" s="48"/>
      <c r="F70" s="49"/>
      <c r="G70" s="48"/>
      <c r="H70" s="49"/>
      <c r="I70" s="46" t="s">
        <v>333</v>
      </c>
      <c r="J70" s="47">
        <v>9.0</v>
      </c>
      <c r="K70" s="46" t="s">
        <v>334</v>
      </c>
      <c r="L70" s="47">
        <v>1.0</v>
      </c>
      <c r="M70" s="26" t="s">
        <v>160</v>
      </c>
    </row>
    <row r="71">
      <c r="A71" s="59"/>
      <c r="B71" s="22" t="s">
        <v>160</v>
      </c>
      <c r="C71" s="48"/>
      <c r="D71" s="49"/>
      <c r="E71" s="48"/>
      <c r="F71" s="49"/>
      <c r="G71" s="48"/>
      <c r="H71" s="49"/>
      <c r="I71" s="46" t="s">
        <v>335</v>
      </c>
      <c r="J71" s="47">
        <v>9.0</v>
      </c>
      <c r="K71" s="48"/>
      <c r="L71" s="49"/>
      <c r="M71" s="26" t="s">
        <v>160</v>
      </c>
    </row>
    <row r="72">
      <c r="A72" s="59"/>
      <c r="B72" s="51" t="s">
        <v>160</v>
      </c>
      <c r="C72" s="52"/>
      <c r="D72" s="53"/>
      <c r="E72" s="52"/>
      <c r="F72" s="53"/>
      <c r="G72" s="52"/>
      <c r="H72" s="53"/>
      <c r="I72" s="52"/>
      <c r="J72" s="53"/>
      <c r="K72" s="52"/>
      <c r="L72" s="53"/>
      <c r="M72" s="56" t="s">
        <v>160</v>
      </c>
    </row>
    <row r="73">
      <c r="C73" s="58" t="s">
        <v>165</v>
      </c>
      <c r="D73" s="59">
        <v>250.0</v>
      </c>
      <c r="E73" s="58" t="s">
        <v>165</v>
      </c>
      <c r="F73" s="59">
        <v>250.0</v>
      </c>
      <c r="G73" s="58" t="s">
        <v>165</v>
      </c>
      <c r="H73" s="59">
        <v>250.0</v>
      </c>
      <c r="I73" s="58" t="s">
        <v>165</v>
      </c>
      <c r="J73" s="59">
        <v>250.0</v>
      </c>
      <c r="K73" s="58" t="s">
        <v>165</v>
      </c>
      <c r="L73" s="59">
        <v>250.0</v>
      </c>
    </row>
    <row r="74">
      <c r="C74" s="58" t="s">
        <v>166</v>
      </c>
      <c r="D74" s="23">
        <f>SUM(D44:D72)</f>
        <v>250</v>
      </c>
      <c r="E74" s="58" t="s">
        <v>166</v>
      </c>
      <c r="F74" s="23">
        <f>SUM(F44:F72)</f>
        <v>223</v>
      </c>
      <c r="G74" s="58" t="s">
        <v>166</v>
      </c>
      <c r="H74" s="23">
        <f>SUM(H44:H72)</f>
        <v>249</v>
      </c>
      <c r="I74" s="58" t="s">
        <v>166</v>
      </c>
      <c r="J74" s="23">
        <f>SUM(J44:J72)</f>
        <v>223</v>
      </c>
      <c r="K74" s="58" t="s">
        <v>166</v>
      </c>
      <c r="L74" s="23">
        <f>SUM(L44:L72)</f>
        <v>220</v>
      </c>
    </row>
    <row r="75">
      <c r="C75" s="58" t="s">
        <v>167</v>
      </c>
      <c r="D75" s="23">
        <f>D73-D74</f>
        <v>0</v>
      </c>
      <c r="E75" s="58" t="s">
        <v>167</v>
      </c>
      <c r="F75" s="23">
        <f>F73-F74</f>
        <v>27</v>
      </c>
      <c r="G75" s="58" t="s">
        <v>167</v>
      </c>
      <c r="H75" s="23">
        <f>H73-H74</f>
        <v>1</v>
      </c>
      <c r="I75" s="58" t="s">
        <v>167</v>
      </c>
      <c r="J75" s="23">
        <f>J73-J74</f>
        <v>27</v>
      </c>
      <c r="K75" s="58" t="s">
        <v>167</v>
      </c>
      <c r="L75" s="23">
        <f>L73-L74</f>
        <v>30</v>
      </c>
    </row>
  </sheetData>
  <drawing r:id="rId1"/>
</worksheet>
</file>