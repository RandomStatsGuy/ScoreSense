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Aaron D" sheetId="2" r:id="rId5"/>
    <sheet state="visible" name="Andrew M" sheetId="3" r:id="rId6"/>
    <sheet state="visible" name="Caleb K" sheetId="4" r:id="rId7"/>
    <sheet state="visible" name="Chris G" sheetId="5" r:id="rId8"/>
    <sheet state="visible" name="Colby L" sheetId="6" r:id="rId9"/>
    <sheet state="visible" name="Dawson O" sheetId="7" r:id="rId10"/>
    <sheet state="visible" name="Josh C" sheetId="8" r:id="rId11"/>
    <sheet state="visible" name="Justin P" sheetId="9" r:id="rId12"/>
    <sheet state="visible" name="Stephen P" sheetId="10" r:id="rId13"/>
    <sheet state="visible" name="Nick F" sheetId="11" r:id="rId14"/>
    <sheet state="visible" name="Example" sheetId="12" r:id="rId15"/>
  </sheets>
  <definedNames/>
  <calcPr/>
  <extLst>
    <ext uri="GoogleSheetsCustomDataVersion2">
      <go:sheetsCustomData xmlns:go="http://customooxmlschemas.google.com/" r:id="rId16" roundtripDataChecksum="cYNEbjkxLsyFMRZem9dIzkkK/62sAaoMlMKhvDX4t1s="/>
    </ext>
  </extLst>
</workbook>
</file>

<file path=xl/sharedStrings.xml><?xml version="1.0" encoding="utf-8"?>
<sst xmlns="http://schemas.openxmlformats.org/spreadsheetml/2006/main" count="1970" uniqueCount="535">
  <si>
    <t>Aaron D</t>
  </si>
  <si>
    <t>Andrew M</t>
  </si>
  <si>
    <t>Caleb K</t>
  </si>
  <si>
    <t>Chris G</t>
  </si>
  <si>
    <t>Colby L</t>
  </si>
  <si>
    <t>Dawson O</t>
  </si>
  <si>
    <t>Pos</t>
  </si>
  <si>
    <t>Player</t>
  </si>
  <si>
    <t>$</t>
  </si>
  <si>
    <t>QB</t>
  </si>
  <si>
    <t>T Tagovailoa</t>
  </si>
  <si>
    <t>R Tanehill</t>
  </si>
  <si>
    <t>L Jackson</t>
  </si>
  <si>
    <t>D Prescott</t>
  </si>
  <si>
    <t>M Jones</t>
  </si>
  <si>
    <t>J Allen</t>
  </si>
  <si>
    <t>P. Mahomes</t>
  </si>
  <si>
    <t>T Lance</t>
  </si>
  <si>
    <t>K Pickett</t>
  </si>
  <si>
    <t>M Stafford</t>
  </si>
  <si>
    <t>K Cousins</t>
  </si>
  <si>
    <t>D Carr</t>
  </si>
  <si>
    <t>T Brady</t>
  </si>
  <si>
    <t>D Watson</t>
  </si>
  <si>
    <t>RB</t>
  </si>
  <si>
    <t>J Taylor</t>
  </si>
  <si>
    <t>N Harris</t>
  </si>
  <si>
    <t>A Ekeler</t>
  </si>
  <si>
    <t>N Chubb</t>
  </si>
  <si>
    <t>D Henry</t>
  </si>
  <si>
    <t>D Swift</t>
  </si>
  <si>
    <t>A Gibson</t>
  </si>
  <si>
    <t>JK Dobbins</t>
  </si>
  <si>
    <t>J Jacobs</t>
  </si>
  <si>
    <t>C Edwards-H</t>
  </si>
  <si>
    <t>A Jones</t>
  </si>
  <si>
    <t>C Edmonds</t>
  </si>
  <si>
    <t>T Pollard</t>
  </si>
  <si>
    <t>D Singletary</t>
  </si>
  <si>
    <t>I Spiller</t>
  </si>
  <si>
    <t>M Sanders</t>
  </si>
  <si>
    <t>K Hunt</t>
  </si>
  <si>
    <t>B Hall</t>
  </si>
  <si>
    <t>K Walker</t>
  </si>
  <si>
    <t>K Drake</t>
  </si>
  <si>
    <t>R White</t>
  </si>
  <si>
    <t>AJ Dillon</t>
  </si>
  <si>
    <t>R. Mostert</t>
  </si>
  <si>
    <t>C Akers</t>
  </si>
  <si>
    <t>M. Ingram</t>
  </si>
  <si>
    <t>D. Pierce</t>
  </si>
  <si>
    <t>J Connor</t>
  </si>
  <si>
    <t>D Henderson</t>
  </si>
  <si>
    <t>T Allgeier</t>
  </si>
  <si>
    <t>K Gainwell</t>
  </si>
  <si>
    <t>R Stevenson</t>
  </si>
  <si>
    <t>N Hines</t>
  </si>
  <si>
    <t>L Fournette</t>
  </si>
  <si>
    <t>T Etienne</t>
  </si>
  <si>
    <t>J White</t>
  </si>
  <si>
    <t>J. Cook</t>
  </si>
  <si>
    <t>K Herbert</t>
  </si>
  <si>
    <t>Z White</t>
  </si>
  <si>
    <t>WR</t>
  </si>
  <si>
    <t>AJ Brown</t>
  </si>
  <si>
    <t>S Diggs</t>
  </si>
  <si>
    <t>T Hill</t>
  </si>
  <si>
    <t>K Allen</t>
  </si>
  <si>
    <t>T McLaughlin</t>
  </si>
  <si>
    <t>D. Hopkins</t>
  </si>
  <si>
    <t>DJ Moore</t>
  </si>
  <si>
    <t>C Olave</t>
  </si>
  <si>
    <t>R Woods</t>
  </si>
  <si>
    <t>C Lamb</t>
  </si>
  <si>
    <t>D Johnson</t>
  </si>
  <si>
    <t>D Samuel</t>
  </si>
  <si>
    <t>D Smith</t>
  </si>
  <si>
    <t>B Aiyuk</t>
  </si>
  <si>
    <t>C Godwin</t>
  </si>
  <si>
    <t>G Pickens</t>
  </si>
  <si>
    <t>J Jeudy</t>
  </si>
  <si>
    <t>J Chase</t>
  </si>
  <si>
    <t>K. Toney</t>
  </si>
  <si>
    <t>M Thomas</t>
  </si>
  <si>
    <t>J Landry</t>
  </si>
  <si>
    <t>R Doubs</t>
  </si>
  <si>
    <t>C Watson</t>
  </si>
  <si>
    <t>G Davis</t>
  </si>
  <si>
    <t>J Waddle</t>
  </si>
  <si>
    <t>G Wilson</t>
  </si>
  <si>
    <t>W Fuller</t>
  </si>
  <si>
    <t>C Davis</t>
  </si>
  <si>
    <t>DJ Chark</t>
  </si>
  <si>
    <t>R Anderson</t>
  </si>
  <si>
    <t>J Smith-Sch.</t>
  </si>
  <si>
    <t>D Mooney</t>
  </si>
  <si>
    <t>E Moore</t>
  </si>
  <si>
    <t>S Shepard</t>
  </si>
  <si>
    <t>M Brown</t>
  </si>
  <si>
    <t>M Williams</t>
  </si>
  <si>
    <t>C Ridley</t>
  </si>
  <si>
    <t>B Edwards</t>
  </si>
  <si>
    <t>J. Dotson</t>
  </si>
  <si>
    <t>R Bateman</t>
  </si>
  <si>
    <t>J Meyers</t>
  </si>
  <si>
    <t>J Williams</t>
  </si>
  <si>
    <t>D Brown</t>
  </si>
  <si>
    <t>M Pittman</t>
  </si>
  <si>
    <t>D Bell</t>
  </si>
  <si>
    <t>OBJ</t>
  </si>
  <si>
    <t>S Moore</t>
  </si>
  <si>
    <t>TE</t>
  </si>
  <si>
    <t>D Goedert</t>
  </si>
  <si>
    <t>D Waller</t>
  </si>
  <si>
    <t>K Pitts</t>
  </si>
  <si>
    <t>G Kittle</t>
  </si>
  <si>
    <t>N Fant</t>
  </si>
  <si>
    <t>T Kelce</t>
  </si>
  <si>
    <t>Z Ertz</t>
  </si>
  <si>
    <t>D Njoku</t>
  </si>
  <si>
    <t>P Friermuth</t>
  </si>
  <si>
    <t>D Knox</t>
  </si>
  <si>
    <t>H Henry</t>
  </si>
  <si>
    <t>L Thomas</t>
  </si>
  <si>
    <t>K</t>
  </si>
  <si>
    <t>D Carlson</t>
  </si>
  <si>
    <t>T Bass</t>
  </si>
  <si>
    <t>E McPherson</t>
  </si>
  <si>
    <t>J. Tucker</t>
  </si>
  <si>
    <t xml:space="preserve"> </t>
  </si>
  <si>
    <t>C Herndon</t>
  </si>
  <si>
    <t>M Gay</t>
  </si>
  <si>
    <t>G Zuerlein</t>
  </si>
  <si>
    <t>D</t>
  </si>
  <si>
    <t>MIA</t>
  </si>
  <si>
    <t>TB</t>
  </si>
  <si>
    <t>IND</t>
  </si>
  <si>
    <t>LAR</t>
  </si>
  <si>
    <t>SF</t>
  </si>
  <si>
    <t>PIT</t>
  </si>
  <si>
    <t>NE</t>
  </si>
  <si>
    <t>WC</t>
  </si>
  <si>
    <t>C Wentz</t>
  </si>
  <si>
    <t>WAS</t>
  </si>
  <si>
    <t>M Gallup</t>
  </si>
  <si>
    <t>D Mims</t>
  </si>
  <si>
    <t>P Campbell</t>
  </si>
  <si>
    <t>M Gaskin</t>
  </si>
  <si>
    <t>Sony Michel</t>
  </si>
  <si>
    <t>C. Hubbard</t>
  </si>
  <si>
    <t>T Atwell</t>
  </si>
  <si>
    <t>J Smith</t>
  </si>
  <si>
    <t>L Shenault</t>
  </si>
  <si>
    <t>Boston Scott</t>
  </si>
  <si>
    <t>P. Lindsay</t>
  </si>
  <si>
    <t>J Cook</t>
  </si>
  <si>
    <t>P Freiermur</t>
  </si>
  <si>
    <t>J Myers</t>
  </si>
  <si>
    <t>Tyson Williams</t>
  </si>
  <si>
    <t>T. Coleman</t>
  </si>
  <si>
    <t>A Trautman</t>
  </si>
  <si>
    <t>T Johnson</t>
  </si>
  <si>
    <t>A Hooper</t>
  </si>
  <si>
    <t>T Jones</t>
  </si>
  <si>
    <t>D Harris</t>
  </si>
  <si>
    <t>K Toney</t>
  </si>
  <si>
    <t>D Williams</t>
  </si>
  <si>
    <t>Z Moss</t>
  </si>
  <si>
    <t>Russel Gage</t>
  </si>
  <si>
    <t>P Mahomes</t>
  </si>
  <si>
    <t>MVS</t>
  </si>
  <si>
    <t>R Mostert</t>
  </si>
  <si>
    <t>J Fields</t>
  </si>
  <si>
    <t>D Parham</t>
  </si>
  <si>
    <t>J Tucker</t>
  </si>
  <si>
    <t>R Succup</t>
  </si>
  <si>
    <t>Subtotal</t>
  </si>
  <si>
    <t>Cap Hit</t>
  </si>
  <si>
    <t>Total</t>
  </si>
  <si>
    <t>To Spend</t>
  </si>
  <si>
    <t>Josh C</t>
  </si>
  <si>
    <t>Justin P</t>
  </si>
  <si>
    <t>Nick F</t>
  </si>
  <si>
    <t>Stephen P</t>
  </si>
  <si>
    <t>Example</t>
  </si>
  <si>
    <t>J Herbert</t>
  </si>
  <si>
    <t>A Rodgers</t>
  </si>
  <si>
    <t>R Wilson</t>
  </si>
  <si>
    <t>K Murray</t>
  </si>
  <si>
    <t>J Burrow</t>
  </si>
  <si>
    <t>T Lawrence</t>
  </si>
  <si>
    <t>J Hurts</t>
  </si>
  <si>
    <t>B Mayfield</t>
  </si>
  <si>
    <t>A Kamara</t>
  </si>
  <si>
    <t>D Montgom.</t>
  </si>
  <si>
    <t>D Cook</t>
  </si>
  <si>
    <t>C McCaffrey</t>
  </si>
  <si>
    <t>J Mixon</t>
  </si>
  <si>
    <t>J Robinson</t>
  </si>
  <si>
    <t>S Barkley</t>
  </si>
  <si>
    <t>E Elliott</t>
  </si>
  <si>
    <t>Jv Williams</t>
  </si>
  <si>
    <t>M Davis</t>
  </si>
  <si>
    <t>M. Carter</t>
  </si>
  <si>
    <t>B Robinson</t>
  </si>
  <si>
    <t>JD McKissic</t>
  </si>
  <si>
    <t>A Mattison</t>
  </si>
  <si>
    <t>A Abdullah</t>
  </si>
  <si>
    <t xml:space="preserve">Jm Williams </t>
  </si>
  <si>
    <t>R Penny</t>
  </si>
  <si>
    <t>M Mack</t>
  </si>
  <si>
    <t>E Mitchell</t>
  </si>
  <si>
    <t>K Hill</t>
  </si>
  <si>
    <t>M Breida</t>
  </si>
  <si>
    <t>Dar Williams</t>
  </si>
  <si>
    <t>S Ahmed</t>
  </si>
  <si>
    <t>C. Patterson</t>
  </si>
  <si>
    <t>M. Gordon</t>
  </si>
  <si>
    <t>J Jefferson</t>
  </si>
  <si>
    <t>D Adams</t>
  </si>
  <si>
    <t>A Thielen</t>
  </si>
  <si>
    <t>A Robinson</t>
  </si>
  <si>
    <t>A Cooper</t>
  </si>
  <si>
    <t>DK Metcalf</t>
  </si>
  <si>
    <t>C Claypool</t>
  </si>
  <si>
    <t>C Kupp</t>
  </si>
  <si>
    <t>J Jones</t>
  </si>
  <si>
    <t>M Evans</t>
  </si>
  <si>
    <t>D London</t>
  </si>
  <si>
    <t>T Higgins</t>
  </si>
  <si>
    <t>T Lockett</t>
  </si>
  <si>
    <t>K Golladay</t>
  </si>
  <si>
    <t>B Cooks</t>
  </si>
  <si>
    <t>T Boyd</t>
  </si>
  <si>
    <t>C Sutton</t>
  </si>
  <si>
    <t>A. Lazard</t>
  </si>
  <si>
    <t>D Parker</t>
  </si>
  <si>
    <t>N Agholor</t>
  </si>
  <si>
    <t>R Moore</t>
  </si>
  <si>
    <t>Renfrow</t>
  </si>
  <si>
    <t>T Marshall</t>
  </si>
  <si>
    <t>C Kirk</t>
  </si>
  <si>
    <t>D. Duvernay</t>
  </si>
  <si>
    <t>T Burks</t>
  </si>
  <si>
    <t>D Slayton</t>
  </si>
  <si>
    <t>V Jefferson</t>
  </si>
  <si>
    <t>A.  St. Brown</t>
  </si>
  <si>
    <t>J Crowder</t>
  </si>
  <si>
    <t>TJ Hockens.</t>
  </si>
  <si>
    <t>T Higbee</t>
  </si>
  <si>
    <t>M Gesicki</t>
  </si>
  <si>
    <t>M Andrews</t>
  </si>
  <si>
    <t>R Tonyan</t>
  </si>
  <si>
    <t>D. Schultz</t>
  </si>
  <si>
    <t>I Smith</t>
  </si>
  <si>
    <t>C Kmet</t>
  </si>
  <si>
    <t>B Jarwin</t>
  </si>
  <si>
    <t>OJ Howard</t>
  </si>
  <si>
    <t>Y Koo</t>
  </si>
  <si>
    <t>H Butker</t>
  </si>
  <si>
    <t>R Blankeship</t>
  </si>
  <si>
    <t>BAL</t>
  </si>
  <si>
    <t>CLE</t>
  </si>
  <si>
    <t>DEN</t>
  </si>
  <si>
    <t>BUF</t>
  </si>
  <si>
    <t>M Carter</t>
  </si>
  <si>
    <t>M Gordon</t>
  </si>
  <si>
    <t>T Sermon</t>
  </si>
  <si>
    <t>M. Trubisky</t>
  </si>
  <si>
    <t>M Hardman</t>
  </si>
  <si>
    <t>R Gould</t>
  </si>
  <si>
    <t>R Jones</t>
  </si>
  <si>
    <t>T Smith</t>
  </si>
  <si>
    <t>Z Wilson</t>
  </si>
  <si>
    <t>J Reagor</t>
  </si>
  <si>
    <t>J Hawkins</t>
  </si>
  <si>
    <t>M Callaway</t>
  </si>
  <si>
    <t>J Kelley</t>
  </si>
  <si>
    <t>KJ Hamler</t>
  </si>
  <si>
    <t>J Sanders</t>
  </si>
  <si>
    <t>L Rountree</t>
  </si>
  <si>
    <t>AJ Green</t>
  </si>
  <si>
    <t>Andrew</t>
  </si>
  <si>
    <t>Stephen</t>
  </si>
  <si>
    <t>Colby</t>
  </si>
  <si>
    <t>Aaron</t>
  </si>
  <si>
    <t>Nick</t>
  </si>
  <si>
    <t>Chris</t>
  </si>
  <si>
    <t>Carter</t>
  </si>
  <si>
    <t>Caleb</t>
  </si>
  <si>
    <t>Justin</t>
  </si>
  <si>
    <t>Dawson</t>
  </si>
  <si>
    <t>$250 League Salary, Variable contracts after 2 years</t>
  </si>
  <si>
    <t>2023 Draft Picks</t>
  </si>
  <si>
    <t>Picker</t>
  </si>
  <si>
    <t>#</t>
  </si>
  <si>
    <t>Winner</t>
  </si>
  <si>
    <t>K. Walker</t>
  </si>
  <si>
    <t>A. St. Brown</t>
  </si>
  <si>
    <t>D Pierce</t>
  </si>
  <si>
    <t>D Schultz</t>
  </si>
  <si>
    <t>A Lazard</t>
  </si>
  <si>
    <t>I. Spiller</t>
  </si>
  <si>
    <t>H. Renfrow</t>
  </si>
  <si>
    <t>C. Watson</t>
  </si>
  <si>
    <t>K. Pickett</t>
  </si>
  <si>
    <t>Z. Ertz</t>
  </si>
  <si>
    <t>--------------</t>
  </si>
  <si>
    <t>Position</t>
  </si>
  <si>
    <t>Current Salary</t>
  </si>
  <si>
    <t>Year Drafted</t>
  </si>
  <si>
    <t>Contract Status</t>
  </si>
  <si>
    <t>Contract Year?</t>
  </si>
  <si>
    <t>Extending Contract?</t>
  </si>
  <si>
    <t>2022-23 Salary</t>
  </si>
  <si>
    <t>2023-24 Salary</t>
  </si>
  <si>
    <t>2024-25 Salary</t>
  </si>
  <si>
    <t>2025-26 Salary</t>
  </si>
  <si>
    <t>Notes</t>
  </si>
  <si>
    <t>T. Tagovailoa</t>
  </si>
  <si>
    <t>Yes</t>
  </si>
  <si>
    <t>1 year ext.</t>
  </si>
  <si>
    <t>2 of 2 Years</t>
  </si>
  <si>
    <t>No</t>
  </si>
  <si>
    <t>J. Taylor</t>
  </si>
  <si>
    <t>D. Swift</t>
  </si>
  <si>
    <t>Releasing</t>
  </si>
  <si>
    <t>C. Akers</t>
  </si>
  <si>
    <t>2 year ext.</t>
  </si>
  <si>
    <t>C. Edmunds</t>
  </si>
  <si>
    <t>T. Etienne</t>
  </si>
  <si>
    <t>3 year ext.</t>
  </si>
  <si>
    <t>Kenneth Gainwell</t>
  </si>
  <si>
    <t>M. Pittman</t>
  </si>
  <si>
    <t>D. Smith</t>
  </si>
  <si>
    <t>Juju</t>
  </si>
  <si>
    <t>E. Moore</t>
  </si>
  <si>
    <t>Calvin Ridley</t>
  </si>
  <si>
    <t>Jameson Williams</t>
  </si>
  <si>
    <t>D. Goddert</t>
  </si>
  <si>
    <t>Miami Dolphins</t>
  </si>
  <si>
    <t>Cut Players</t>
  </si>
  <si>
    <t>C. Wentz</t>
  </si>
  <si>
    <t>2 of 2 years</t>
  </si>
  <si>
    <t>M. Gaskin</t>
  </si>
  <si>
    <t>L. Shenault</t>
  </si>
  <si>
    <t>J. Meyers</t>
  </si>
  <si>
    <t>A. Hooper</t>
  </si>
  <si>
    <t>Z. Moss</t>
  </si>
  <si>
    <t>TOTAL SALARY</t>
  </si>
  <si>
    <t>Salary Available</t>
  </si>
  <si>
    <t>Salary</t>
  </si>
  <si>
    <t>Status of Contract</t>
  </si>
  <si>
    <t>R. Tannehill</t>
  </si>
  <si>
    <t>T. Lance</t>
  </si>
  <si>
    <t>N. Harris</t>
  </si>
  <si>
    <t>A. Gibson</t>
  </si>
  <si>
    <t>T. Pollard</t>
  </si>
  <si>
    <t>Kenneth Walker</t>
  </si>
  <si>
    <t>1 of 2 years</t>
  </si>
  <si>
    <t>S. Diggs</t>
  </si>
  <si>
    <t>Aiyuk</t>
  </si>
  <si>
    <t>M. Thomas</t>
  </si>
  <si>
    <t>D. Mooney</t>
  </si>
  <si>
    <t>C. Olave</t>
  </si>
  <si>
    <t>B. Edwards</t>
  </si>
  <si>
    <t>Garrett Wilson</t>
  </si>
  <si>
    <t>D. Waller</t>
  </si>
  <si>
    <t>David Njoku</t>
  </si>
  <si>
    <t>D. Carlson</t>
  </si>
  <si>
    <t>DEF</t>
  </si>
  <si>
    <t xml:space="preserve">  </t>
  </si>
  <si>
    <t>Washington DEF</t>
  </si>
  <si>
    <t>T. Jones</t>
  </si>
  <si>
    <t>Russell Gage</t>
  </si>
  <si>
    <t>D. Parham</t>
  </si>
  <si>
    <t>L. Jackson</t>
  </si>
  <si>
    <t>T. Brady</t>
  </si>
  <si>
    <t>D. Watson</t>
  </si>
  <si>
    <t>Breece Hall</t>
  </si>
  <si>
    <t>D. Singletary</t>
  </si>
  <si>
    <t>K. Drake</t>
  </si>
  <si>
    <t>R. Stevensen</t>
  </si>
  <si>
    <t>T. Hill</t>
  </si>
  <si>
    <t>C. Godwin</t>
  </si>
  <si>
    <t>R. Woods</t>
  </si>
  <si>
    <t>J. Landry</t>
  </si>
  <si>
    <t>W. Fuller</t>
  </si>
  <si>
    <t>K. Pitts</t>
  </si>
  <si>
    <t>Tampa Bay</t>
  </si>
  <si>
    <t>Pit</t>
  </si>
  <si>
    <t>M. Gallup</t>
  </si>
  <si>
    <t>Chubba Hubbard</t>
  </si>
  <si>
    <t>D. Harris</t>
  </si>
  <si>
    <t>Pat Mahomes</t>
  </si>
  <si>
    <t>C. Herndon</t>
  </si>
  <si>
    <t>D. Prescott</t>
  </si>
  <si>
    <t>M. Stafford</t>
  </si>
  <si>
    <t>J. Jacobs</t>
  </si>
  <si>
    <t>A. Ekeler</t>
  </si>
  <si>
    <t>J. Connor</t>
  </si>
  <si>
    <t>N. Hines</t>
  </si>
  <si>
    <t>J. White</t>
  </si>
  <si>
    <t>Rachaad White</t>
  </si>
  <si>
    <t>C. Lamb</t>
  </si>
  <si>
    <t>K. Allen</t>
  </si>
  <si>
    <t>C. Davis</t>
  </si>
  <si>
    <t>S. Shepard</t>
  </si>
  <si>
    <t>R. Bateman</t>
  </si>
  <si>
    <t>George Pickens</t>
  </si>
  <si>
    <t>Romeo Doubs</t>
  </si>
  <si>
    <t>G. Kittle</t>
  </si>
  <si>
    <t>L. Thomas</t>
  </si>
  <si>
    <t>Pat Friermuth</t>
  </si>
  <si>
    <t>T. Bass</t>
  </si>
  <si>
    <t>M. Gay</t>
  </si>
  <si>
    <t>C. Ridley</t>
  </si>
  <si>
    <t>M. Jones</t>
  </si>
  <si>
    <t>K. Cousins</t>
  </si>
  <si>
    <t>N. Chubb</t>
  </si>
  <si>
    <t>CEH</t>
  </si>
  <si>
    <t>M. Sanders</t>
  </si>
  <si>
    <t>D. Henderson</t>
  </si>
  <si>
    <t>L. Fournette</t>
  </si>
  <si>
    <t>Zamir White</t>
  </si>
  <si>
    <t>T. McLaurin</t>
  </si>
  <si>
    <t>D. Johnson</t>
  </si>
  <si>
    <t>J. Jeudy</t>
  </si>
  <si>
    <t>M. Brown</t>
  </si>
  <si>
    <t>D. Brown</t>
  </si>
  <si>
    <t>Skyy Moore</t>
  </si>
  <si>
    <t>N. Fant</t>
  </si>
  <si>
    <t>D. Knox</t>
  </si>
  <si>
    <t>G. Zurlein</t>
  </si>
  <si>
    <t>Evan McPherson</t>
  </si>
  <si>
    <t>D. Mims</t>
  </si>
  <si>
    <t>K. Herbert</t>
  </si>
  <si>
    <t>David Bell</t>
  </si>
  <si>
    <t>J. Allen</t>
  </si>
  <si>
    <t>Derek Carr</t>
  </si>
  <si>
    <t>D. Henry</t>
  </si>
  <si>
    <t>A. Jones</t>
  </si>
  <si>
    <t>K. Hunt</t>
  </si>
  <si>
    <t>Tyler Algeier</t>
  </si>
  <si>
    <t>J. Chase</t>
  </si>
  <si>
    <t>D. Samuel</t>
  </si>
  <si>
    <t>R. Anderson</t>
  </si>
  <si>
    <t>M. Williams</t>
  </si>
  <si>
    <t>Gabe Davis</t>
  </si>
  <si>
    <t>T. Kelce</t>
  </si>
  <si>
    <t>Hunter Henry</t>
  </si>
  <si>
    <t>Pat Freiermur</t>
  </si>
  <si>
    <t>R. Succup</t>
  </si>
  <si>
    <t>J. Herbert</t>
  </si>
  <si>
    <t>J. Burrow</t>
  </si>
  <si>
    <t>Kamara</t>
  </si>
  <si>
    <t>J. Mixon</t>
  </si>
  <si>
    <t>J. Williams</t>
  </si>
  <si>
    <t>B. Robinson</t>
  </si>
  <si>
    <t>Jm. Williams</t>
  </si>
  <si>
    <t>E. Mitchell</t>
  </si>
  <si>
    <t>S. Ahmed</t>
  </si>
  <si>
    <t>J. Jefferson</t>
  </si>
  <si>
    <t>A. Cooper</t>
  </si>
  <si>
    <t>J. Jones</t>
  </si>
  <si>
    <t>T. Boyd</t>
  </si>
  <si>
    <t>N. Agholor</t>
  </si>
  <si>
    <t>C. Kirk</t>
  </si>
  <si>
    <t>D. Slayton</t>
  </si>
  <si>
    <t>TJ Hock</t>
  </si>
  <si>
    <t>R. Tonyan</t>
  </si>
  <si>
    <t>C. Kmet</t>
  </si>
  <si>
    <t>Y. Koo</t>
  </si>
  <si>
    <t>M. Hardman</t>
  </si>
  <si>
    <t>T. Lawrence</t>
  </si>
  <si>
    <t>A. Rodgers</t>
  </si>
  <si>
    <t>D. Montgomery</t>
  </si>
  <si>
    <t>J. Robinson</t>
  </si>
  <si>
    <t>M. Davis</t>
  </si>
  <si>
    <t>JD. McKissnic</t>
  </si>
  <si>
    <t>R. Penny</t>
  </si>
  <si>
    <t>K. Hill</t>
  </si>
  <si>
    <t>DK. Metcalf</t>
  </si>
  <si>
    <t>D. Adams</t>
  </si>
  <si>
    <t>M. Evans</t>
  </si>
  <si>
    <t>T. Lockett</t>
  </si>
  <si>
    <t>C. Sutton</t>
  </si>
  <si>
    <t>R. Moore</t>
  </si>
  <si>
    <t>V. Jefferson</t>
  </si>
  <si>
    <t>T. Higbee</t>
  </si>
  <si>
    <t>D. Shultz</t>
  </si>
  <si>
    <t>B. Jarwin</t>
  </si>
  <si>
    <t>H. Butker</t>
  </si>
  <si>
    <t>R. Blankenship</t>
  </si>
  <si>
    <t>K. Murray</t>
  </si>
  <si>
    <t>C. McCaffery</t>
  </si>
  <si>
    <t>Zeke</t>
  </si>
  <si>
    <t>Dar. Williams</t>
  </si>
  <si>
    <t>Amir Abdullah</t>
  </si>
  <si>
    <t>C. Kupp</t>
  </si>
  <si>
    <t>A. Robinson</t>
  </si>
  <si>
    <t>T. Higgins</t>
  </si>
  <si>
    <t>B. Cooks</t>
  </si>
  <si>
    <t>D. Parker</t>
  </si>
  <si>
    <t>T. Marshall</t>
  </si>
  <si>
    <t>T. Burks</t>
  </si>
  <si>
    <t>Amon Ra St. Brown</t>
  </si>
  <si>
    <t>Denzel Mims</t>
  </si>
  <si>
    <t>M. Andrews</t>
  </si>
  <si>
    <t>Austin Hooper</t>
  </si>
  <si>
    <t>Released</t>
  </si>
  <si>
    <t>R. Jones</t>
  </si>
  <si>
    <t>Z. Wilson</t>
  </si>
  <si>
    <t>J. Kelley</t>
  </si>
  <si>
    <t>Zach Ertz</t>
  </si>
  <si>
    <t>L. Rountree</t>
  </si>
  <si>
    <t>R. Willson</t>
  </si>
  <si>
    <t>J. Hurts</t>
  </si>
  <si>
    <t>B. Mayfield</t>
  </si>
  <si>
    <t>D. Cook</t>
  </si>
  <si>
    <t>S. Barkley</t>
  </si>
  <si>
    <t>A. Mattison</t>
  </si>
  <si>
    <t>Matt Breida</t>
  </si>
  <si>
    <t>C. Claypool</t>
  </si>
  <si>
    <t>A. Thielen</t>
  </si>
  <si>
    <t>D. London</t>
  </si>
  <si>
    <t>K. Golladay</t>
  </si>
  <si>
    <t>J. Crowder</t>
  </si>
  <si>
    <t>M. Gesicki</t>
  </si>
  <si>
    <t>Marlon Mack</t>
  </si>
  <si>
    <t>R. Gould</t>
  </si>
  <si>
    <t>T. Smith</t>
  </si>
  <si>
    <t>M. Callaway</t>
  </si>
  <si>
    <t>R. Wilson</t>
  </si>
  <si>
    <t>Dolphins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</si>
</sst>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0.0"/>
      <color rgb="FF000000"/>
      <name val="Calibri"/>
      <scheme val="minor"/>
    </font>
    <font>
      <sz val="10.0"/>
      <color theme="1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sz val="10.0"/>
      <color rgb="FF7F7F7F"/>
      <name val="Arial"/>
    </font>
    <font>
      <sz val="10.0"/>
      <color rgb="FF4600A5"/>
      <name val="Arial"/>
    </font>
    <font>
      <b/>
      <sz val="10.0"/>
      <color rgb="FF4600A5"/>
      <name val="Arial"/>
    </font>
    <font>
      <b/>
      <color rgb="FF4600A5"/>
      <name val="Arial"/>
    </font>
    <font>
      <b/>
      <sz val="10.0"/>
      <color rgb="FF7030A0"/>
      <name val="Arial"/>
    </font>
    <font>
      <sz val="10.0"/>
      <color rgb="FFDD0806"/>
      <name val="Arial"/>
    </font>
    <font>
      <b/>
      <sz val="10.0"/>
      <color rgb="FFDD0806"/>
      <name val="Arial"/>
    </font>
    <font>
      <sz val="10.0"/>
      <color rgb="FF000090"/>
      <name val="Arial"/>
    </font>
    <font>
      <b/>
      <sz val="10.0"/>
      <color rgb="FF000090"/>
      <name val="Arial"/>
    </font>
    <font>
      <b/>
      <sz val="10.0"/>
      <color rgb="FF333399"/>
      <name val="Arial"/>
    </font>
    <font>
      <sz val="10.0"/>
      <color rgb="FF006411"/>
      <name val="Arial"/>
    </font>
    <font>
      <b/>
      <sz val="10.0"/>
      <color rgb="FF006411"/>
      <name val="Arial"/>
    </font>
    <font>
      <color theme="1"/>
      <name val="Arial"/>
    </font>
    <font>
      <sz val="10.0"/>
      <color rgb="FFFF6600"/>
      <name val="Arial"/>
    </font>
    <font>
      <b/>
      <sz val="10.0"/>
      <color rgb="FFFF6600"/>
      <name val="Arial"/>
    </font>
    <font>
      <sz val="10.0"/>
      <color rgb="FF33CCCC"/>
      <name val="Arial"/>
    </font>
    <font>
      <b/>
      <sz val="10.0"/>
      <color rgb="FF33CCCC"/>
      <name val="Arial"/>
    </font>
    <font>
      <b/>
      <color theme="1"/>
      <name val="Arial"/>
    </font>
    <font>
      <b/>
      <sz val="10.0"/>
      <color rgb="FF5F497A"/>
      <name val="Arial"/>
    </font>
    <font>
      <b/>
      <sz val="10.0"/>
      <color rgb="FFCC0000"/>
      <name val="Arial"/>
    </font>
    <font>
      <b/>
      <sz val="10.0"/>
      <color rgb="FF90713A"/>
      <name val="Arial"/>
    </font>
    <font>
      <b/>
      <color rgb="FF000090"/>
      <name val="Arial"/>
    </font>
    <font>
      <sz val="10.0"/>
      <color rgb="FF90713A"/>
      <name val="Arial"/>
    </font>
    <font>
      <color rgb="FF000000"/>
      <name val="Arial"/>
    </font>
    <font>
      <b/>
      <color rgb="FFFCF305"/>
      <name val="Arial"/>
    </font>
    <font>
      <b/>
      <sz val="10.0"/>
      <color rgb="FFFCF305"/>
      <name val="Arial"/>
    </font>
    <font>
      <b/>
      <color rgb="FF000000"/>
      <name val="Arial"/>
    </font>
    <font>
      <b/>
      <sz val="10.0"/>
      <color rgb="FF000000"/>
      <name val="Arial"/>
    </font>
    <font>
      <b/>
      <color rgb="FFDD0806"/>
      <name val="Arial"/>
    </font>
    <font>
      <b/>
      <color rgb="FF333399"/>
      <name val="Arial"/>
    </font>
    <font>
      <b/>
      <color rgb="FF006411"/>
      <name val="Arial"/>
    </font>
    <font>
      <b/>
      <color rgb="FFFF6600"/>
      <name val="Arial"/>
    </font>
    <font>
      <b/>
      <color rgb="FF33CCCC"/>
      <name val="Arial"/>
    </font>
    <font>
      <sz val="10.0"/>
      <color rgb="FF000000"/>
      <name val="Arial"/>
    </font>
    <font>
      <color theme="1"/>
      <name val="Calibri"/>
      <scheme val="minor"/>
    </font>
    <font>
      <b/>
      <color rgb="FF000000"/>
      <name val="Calibri"/>
      <scheme val="minor"/>
    </font>
    <font>
      <color rgb="FF000000"/>
      <name val="Calibri"/>
    </font>
    <font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</font>
    <font>
      <b/>
      <color rgb="FF000000"/>
      <name val="Calibri"/>
    </font>
    <font>
      <color rgb="FFDD0806"/>
      <name val="Arial"/>
    </font>
    <font>
      <sz val="9.0"/>
      <color rgb="FF000000"/>
      <name val="&quot;Google Sans Mono&quot;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CF305"/>
        <bgColor rgb="FFFCF305"/>
      </patternFill>
    </fill>
    <fill>
      <patternFill patternType="solid">
        <fgColor rgb="FFEFEFEF"/>
        <bgColor rgb="FFEFEFEF"/>
      </patternFill>
    </fill>
    <fill>
      <patternFill patternType="solid">
        <fgColor rgb="FF900000"/>
        <bgColor rgb="FF9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1" fillId="0" fontId="1" numFmtId="1" xfId="0" applyAlignment="1" applyBorder="1" applyFont="1" applyNumberFormat="1">
      <alignment horizontal="center" vertical="center"/>
    </xf>
    <xf borderId="1" fillId="2" fontId="3" numFmtId="1" xfId="0" applyAlignment="1" applyBorder="1" applyFill="1" applyFont="1" applyNumberFormat="1">
      <alignment horizontal="right" vertical="center"/>
    </xf>
    <xf borderId="1" fillId="0" fontId="1" numFmtId="1" xfId="0" applyAlignment="1" applyBorder="1" applyFont="1" applyNumberFormat="1">
      <alignment horizontal="right" vertical="center"/>
    </xf>
    <xf borderId="1" fillId="3" fontId="4" numFmtId="1" xfId="0" applyAlignment="1" applyBorder="1" applyFill="1" applyFont="1" applyNumberFormat="1">
      <alignment horizontal="center" vertical="center"/>
    </xf>
    <xf borderId="1" fillId="3" fontId="4" numFmtId="1" xfId="0" applyAlignment="1" applyBorder="1" applyFont="1" applyNumberFormat="1">
      <alignment horizontal="right" vertical="center"/>
    </xf>
    <xf borderId="1" fillId="4" fontId="5" numFmtId="1" xfId="0" applyAlignment="1" applyBorder="1" applyFill="1" applyFont="1" applyNumberFormat="1">
      <alignment horizontal="center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1" xfId="0" applyAlignment="1" applyBorder="1" applyFont="1" applyNumberFormat="1">
      <alignment horizontal="center" vertical="center"/>
    </xf>
    <xf borderId="1" fillId="5" fontId="6" numFmtId="1" xfId="0" applyAlignment="1" applyBorder="1" applyFill="1" applyFont="1" applyNumberFormat="1">
      <alignment horizontal="right" vertical="center"/>
    </xf>
    <xf borderId="1" fillId="5" fontId="6" numFmtId="1" xfId="0" applyAlignment="1" applyBorder="1" applyFont="1" applyNumberFormat="1">
      <alignment horizontal="center" vertical="center"/>
    </xf>
    <xf borderId="1" fillId="6" fontId="7" numFmtId="1" xfId="0" applyAlignment="1" applyBorder="1" applyFill="1" applyFont="1" applyNumberFormat="1">
      <alignment horizontal="right"/>
    </xf>
    <xf borderId="2" fillId="6" fontId="7" numFmtId="1" xfId="0" applyAlignment="1" applyBorder="1" applyFont="1" applyNumberFormat="1">
      <alignment horizontal="center"/>
    </xf>
    <xf borderId="3" fillId="4" fontId="8" numFmtId="1" xfId="0" applyAlignment="1" applyBorder="1" applyFont="1" applyNumberFormat="1">
      <alignment horizontal="right" vertical="center"/>
    </xf>
    <xf borderId="3" fillId="4" fontId="6" numFmtId="1" xfId="0" applyAlignment="1" applyBorder="1" applyFont="1" applyNumberFormat="1">
      <alignment horizontal="center" vertical="center"/>
    </xf>
    <xf borderId="3" fillId="6" fontId="6" numFmtId="1" xfId="0" applyAlignment="1" applyBorder="1" applyFont="1" applyNumberFormat="1">
      <alignment horizontal="right" vertical="center"/>
    </xf>
    <xf borderId="3" fillId="6" fontId="6" numFmtId="1" xfId="0" applyAlignment="1" applyBorder="1" applyFont="1" applyNumberFormat="1">
      <alignment horizontal="center" vertical="center"/>
    </xf>
    <xf borderId="4" fillId="4" fontId="6" numFmtId="1" xfId="0" applyAlignment="1" applyBorder="1" applyFont="1" applyNumberFormat="1">
      <alignment horizontal="center" vertical="center"/>
    </xf>
    <xf borderId="5" fillId="4" fontId="8" numFmtId="0" xfId="0" applyAlignment="1" applyBorder="1" applyFont="1">
      <alignment horizontal="right" vertical="center"/>
    </xf>
    <xf borderId="5" fillId="4" fontId="8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vertical="center"/>
    </xf>
    <xf borderId="2" fillId="4" fontId="5" numFmtId="1" xfId="0" applyAlignment="1" applyBorder="1" applyFont="1" applyNumberFormat="1">
      <alignment horizontal="center" vertical="center"/>
    </xf>
    <xf borderId="0" fillId="4" fontId="8" numFmtId="0" xfId="0" applyAlignment="1" applyFont="1">
      <alignment horizontal="right" vertical="center"/>
    </xf>
    <xf borderId="0" fillId="4" fontId="8" numFmtId="0" xfId="0" applyAlignment="1" applyFont="1">
      <alignment horizontal="center" vertical="center"/>
    </xf>
    <xf borderId="0" fillId="7" fontId="1" numFmtId="0" xfId="0" applyAlignment="1" applyFont="1">
      <alignment vertical="center"/>
    </xf>
    <xf borderId="1" fillId="0" fontId="9" numFmtId="1" xfId="0" applyAlignment="1" applyBorder="1" applyFont="1" applyNumberFormat="1">
      <alignment horizontal="center" vertical="center"/>
    </xf>
    <xf borderId="1" fillId="0" fontId="10" numFmtId="1" xfId="0" applyAlignment="1" applyBorder="1" applyFont="1" applyNumberFormat="1">
      <alignment horizontal="right" vertical="center"/>
    </xf>
    <xf borderId="1" fillId="0" fontId="10" numFmtId="1" xfId="0" applyAlignment="1" applyBorder="1" applyFont="1" applyNumberFormat="1">
      <alignment horizontal="center" vertical="center"/>
    </xf>
    <xf borderId="6" fillId="0" fontId="10" numFmtId="1" xfId="0" applyAlignment="1" applyBorder="1" applyFont="1" applyNumberFormat="1">
      <alignment horizontal="right" vertical="center"/>
    </xf>
    <xf borderId="6" fillId="0" fontId="10" numFmtId="1" xfId="0" applyAlignment="1" applyBorder="1" applyFont="1" applyNumberFormat="1">
      <alignment horizontal="center" vertical="center"/>
    </xf>
    <xf borderId="1" fillId="6" fontId="10" numFmtId="1" xfId="0" applyAlignment="1" applyBorder="1" applyFont="1" applyNumberFormat="1">
      <alignment horizontal="right" vertical="center"/>
    </xf>
    <xf borderId="1" fillId="6" fontId="10" numFmtId="1" xfId="0" applyAlignment="1" applyBorder="1" applyFont="1" applyNumberFormat="1">
      <alignment horizontal="center" vertical="center"/>
    </xf>
    <xf borderId="1" fillId="5" fontId="10" numFmtId="1" xfId="0" applyAlignment="1" applyBorder="1" applyFont="1" applyNumberFormat="1">
      <alignment horizontal="right" readingOrder="0" vertical="center"/>
    </xf>
    <xf borderId="1" fillId="5" fontId="10" numFmtId="1" xfId="0" applyAlignment="1" applyBorder="1" applyFont="1" applyNumberFormat="1">
      <alignment horizontal="center" readingOrder="0" vertical="center"/>
    </xf>
    <xf borderId="1" fillId="4" fontId="11" numFmtId="1" xfId="0" applyAlignment="1" applyBorder="1" applyFont="1" applyNumberFormat="1">
      <alignment horizontal="center" vertical="center"/>
    </xf>
    <xf borderId="1" fillId="4" fontId="12" numFmtId="1" xfId="0" applyAlignment="1" applyBorder="1" applyFont="1" applyNumberFormat="1">
      <alignment horizontal="right" vertical="center"/>
    </xf>
    <xf borderId="1" fillId="4" fontId="12" numFmtId="1" xfId="0" applyAlignment="1" applyBorder="1" applyFont="1" applyNumberFormat="1">
      <alignment horizontal="center" vertical="center"/>
    </xf>
    <xf borderId="1" fillId="4" fontId="13" numFmtId="1" xfId="0" applyAlignment="1" applyBorder="1" applyFont="1" applyNumberFormat="1">
      <alignment horizontal="right" vertical="center"/>
    </xf>
    <xf borderId="1" fillId="4" fontId="13" numFmtId="1" xfId="0" applyAlignment="1" applyBorder="1" applyFont="1" applyNumberFormat="1">
      <alignment horizontal="center" vertical="center"/>
    </xf>
    <xf borderId="1" fillId="6" fontId="12" numFmtId="1" xfId="0" applyAlignment="1" applyBorder="1" applyFont="1" applyNumberFormat="1">
      <alignment horizontal="right" vertical="center"/>
    </xf>
    <xf borderId="1" fillId="6" fontId="12" numFmtId="1" xfId="0" applyAlignment="1" applyBorder="1" applyFont="1" applyNumberFormat="1">
      <alignment horizontal="center" vertical="center"/>
    </xf>
    <xf borderId="1" fillId="0" fontId="14" numFmtId="1" xfId="0" applyAlignment="1" applyBorder="1" applyFont="1" applyNumberFormat="1">
      <alignment horizontal="center" vertical="center"/>
    </xf>
    <xf borderId="1" fillId="0" fontId="15" numFmtId="1" xfId="0" applyAlignment="1" applyBorder="1" applyFont="1" applyNumberFormat="1">
      <alignment horizontal="right" vertical="center"/>
    </xf>
    <xf borderId="1" fillId="0" fontId="15" numFmtId="1" xfId="0" applyAlignment="1" applyBorder="1" applyFont="1" applyNumberFormat="1">
      <alignment horizontal="center" vertical="center"/>
    </xf>
    <xf borderId="1" fillId="6" fontId="15" numFmtId="1" xfId="0" applyAlignment="1" applyBorder="1" applyFont="1" applyNumberFormat="1">
      <alignment horizontal="right" vertical="center"/>
    </xf>
    <xf borderId="1" fillId="6" fontId="15" numFmtId="1" xfId="0" applyAlignment="1" applyBorder="1" applyFont="1" applyNumberFormat="1">
      <alignment horizontal="center" vertical="center"/>
    </xf>
    <xf borderId="0" fillId="0" fontId="16" numFmtId="0" xfId="0" applyFont="1"/>
    <xf borderId="1" fillId="4" fontId="17" numFmtId="1" xfId="0" applyAlignment="1" applyBorder="1" applyFont="1" applyNumberFormat="1">
      <alignment horizontal="center" vertical="center"/>
    </xf>
    <xf borderId="1" fillId="4" fontId="18" numFmtId="1" xfId="0" applyAlignment="1" applyBorder="1" applyFont="1" applyNumberFormat="1">
      <alignment horizontal="right" vertical="center"/>
    </xf>
    <xf borderId="1" fillId="4" fontId="18" numFmtId="1" xfId="0" applyAlignment="1" applyBorder="1" applyFont="1" applyNumberFormat="1">
      <alignment horizontal="center" vertical="center"/>
    </xf>
    <xf borderId="1" fillId="6" fontId="18" numFmtId="1" xfId="0" applyAlignment="1" applyBorder="1" applyFont="1" applyNumberFormat="1">
      <alignment horizontal="right" vertical="center"/>
    </xf>
    <xf borderId="1" fillId="6" fontId="18" numFmtId="1" xfId="0" applyAlignment="1" applyBorder="1" applyFont="1" applyNumberFormat="1">
      <alignment horizontal="center" vertical="center"/>
    </xf>
    <xf borderId="1" fillId="0" fontId="19" numFmtId="1" xfId="0" applyAlignment="1" applyBorder="1" applyFont="1" applyNumberFormat="1">
      <alignment horizontal="center" vertical="center"/>
    </xf>
    <xf borderId="1" fillId="0" fontId="20" numFmtId="1" xfId="0" applyAlignment="1" applyBorder="1" applyFont="1" applyNumberFormat="1">
      <alignment horizontal="right" vertical="center"/>
    </xf>
    <xf borderId="1" fillId="0" fontId="20" numFmtId="1" xfId="0" applyAlignment="1" applyBorder="1" applyFont="1" applyNumberFormat="1">
      <alignment horizontal="center" vertical="center"/>
    </xf>
    <xf borderId="1" fillId="4" fontId="1" numFmtId="1" xfId="0" applyAlignment="1" applyBorder="1" applyFont="1" applyNumberFormat="1">
      <alignment horizontal="center" vertical="center"/>
    </xf>
    <xf borderId="1" fillId="4" fontId="3" numFmtId="1" xfId="0" applyAlignment="1" applyBorder="1" applyFont="1" applyNumberFormat="1">
      <alignment horizontal="right" vertical="center"/>
    </xf>
    <xf borderId="1" fillId="4" fontId="3" numFmtId="1" xfId="0" applyAlignment="1" applyBorder="1" applyFont="1" applyNumberFormat="1">
      <alignment horizontal="center" vertical="center"/>
    </xf>
    <xf borderId="1" fillId="4" fontId="21" numFmtId="1" xfId="0" applyAlignment="1" applyBorder="1" applyFont="1" applyNumberFormat="1">
      <alignment horizontal="right"/>
    </xf>
    <xf borderId="2" fillId="4" fontId="21" numFmtId="1" xfId="0" applyAlignment="1" applyBorder="1" applyFont="1" applyNumberFormat="1">
      <alignment horizontal="center"/>
    </xf>
    <xf borderId="0" fillId="4" fontId="3" numFmtId="1" xfId="0" applyAlignment="1" applyFont="1" applyNumberFormat="1">
      <alignment horizontal="right" vertical="center"/>
    </xf>
    <xf borderId="0" fillId="4" fontId="3" numFmtId="1" xfId="0" applyAlignment="1" applyFont="1" applyNumberFormat="1">
      <alignment horizontal="center" vertical="center"/>
    </xf>
    <xf borderId="0" fillId="4" fontId="21" numFmtId="1" xfId="0" applyAlignment="1" applyFont="1" applyNumberFormat="1">
      <alignment horizontal="right"/>
    </xf>
    <xf borderId="0" fillId="4" fontId="21" numFmtId="1" xfId="0" applyAlignment="1" applyFont="1" applyNumberFormat="1">
      <alignment horizontal="center"/>
    </xf>
    <xf borderId="0" fillId="4" fontId="1" numFmtId="1" xfId="0" applyAlignment="1" applyFont="1" applyNumberFormat="1">
      <alignment horizontal="center" vertical="center"/>
    </xf>
    <xf borderId="0" fillId="4" fontId="10" numFmtId="1" xfId="0" applyAlignment="1" applyFont="1" applyNumberFormat="1">
      <alignment horizontal="right" vertical="center"/>
    </xf>
    <xf borderId="0" fillId="4" fontId="10" numFmtId="1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right" vertical="center"/>
    </xf>
    <xf borderId="0" fillId="0" fontId="4" numFmtId="1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right" vertical="center"/>
    </xf>
    <xf borderId="0" fillId="0" fontId="1" numFmtId="1" xfId="0" applyAlignment="1" applyFont="1" applyNumberFormat="1">
      <alignment horizontal="center" vertical="center"/>
    </xf>
    <xf borderId="1" fillId="0" fontId="3" numFmtId="1" xfId="0" applyAlignment="1" applyBorder="1" applyFont="1" applyNumberFormat="1">
      <alignment horizontal="right" vertical="center"/>
    </xf>
    <xf borderId="1" fillId="4" fontId="22" numFmtId="1" xfId="0" applyAlignment="1" applyBorder="1" applyFont="1" applyNumberFormat="1">
      <alignment horizontal="right" vertical="center"/>
    </xf>
    <xf borderId="1" fillId="4" fontId="22" numFmtId="1" xfId="0" applyAlignment="1" applyBorder="1" applyFont="1" applyNumberFormat="1">
      <alignment horizontal="center" vertical="center"/>
    </xf>
    <xf borderId="0" fillId="6" fontId="23" numFmtId="0" xfId="0" applyAlignment="1" applyFont="1">
      <alignment horizontal="center" vertical="center"/>
    </xf>
    <xf borderId="0" fillId="6" fontId="1" numFmtId="0" xfId="0" applyAlignment="1" applyFont="1">
      <alignment vertical="center"/>
    </xf>
    <xf borderId="1" fillId="0" fontId="3" numFmtId="1" xfId="0" applyAlignment="1" applyBorder="1" applyFont="1" applyNumberFormat="1">
      <alignment horizontal="center" vertical="center"/>
    </xf>
    <xf borderId="1" fillId="4" fontId="24" numFmtId="1" xfId="0" applyAlignment="1" applyBorder="1" applyFont="1" applyNumberFormat="1">
      <alignment horizontal="right" vertical="center"/>
    </xf>
    <xf borderId="1" fillId="4" fontId="24" numFmtId="1" xfId="0" applyAlignment="1" applyBorder="1" applyFont="1" applyNumberFormat="1">
      <alignment horizontal="center" vertical="center"/>
    </xf>
    <xf borderId="0" fillId="4" fontId="25" numFmtId="1" xfId="0" applyAlignment="1" applyFont="1" applyNumberFormat="1">
      <alignment horizontal="right"/>
    </xf>
    <xf borderId="0" fillId="4" fontId="24" numFmtId="1" xfId="0" applyAlignment="1" applyFont="1" applyNumberFormat="1">
      <alignment horizontal="right" vertical="center"/>
    </xf>
    <xf borderId="0" fillId="4" fontId="24" numFmtId="1" xfId="0" applyAlignment="1" applyFont="1" applyNumberFormat="1">
      <alignment horizontal="center" vertical="center"/>
    </xf>
    <xf borderId="0" fillId="0" fontId="26" numFmtId="1" xfId="0" applyAlignment="1" applyFont="1" applyNumberFormat="1">
      <alignment horizontal="right" vertical="center"/>
    </xf>
    <xf borderId="0" fillId="0" fontId="26" numFmtId="1" xfId="0" applyAlignment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7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0" fillId="7" fontId="16" numFmtId="0" xfId="0" applyFont="1"/>
    <xf borderId="0" fillId="7" fontId="16" numFmtId="0" xfId="0" applyAlignment="1" applyFont="1">
      <alignment horizontal="right"/>
    </xf>
    <xf borderId="0" fillId="7" fontId="1" numFmtId="0" xfId="0" applyFont="1"/>
    <xf borderId="0" fillId="7" fontId="1" numFmtId="0" xfId="0" applyAlignment="1" applyFont="1">
      <alignment horizontal="right"/>
    </xf>
    <xf borderId="8" fillId="7" fontId="16" numFmtId="0" xfId="0" applyAlignment="1" applyBorder="1" applyFont="1">
      <alignment vertical="bottom"/>
    </xf>
    <xf borderId="0" fillId="7" fontId="16" numFmtId="0" xfId="0" applyAlignment="1" applyFont="1">
      <alignment vertical="bottom"/>
    </xf>
    <xf borderId="8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0" fillId="0" fontId="1" numFmtId="0" xfId="0" applyFont="1"/>
    <xf borderId="8" fillId="8" fontId="28" numFmtId="0" xfId="0" applyAlignment="1" applyBorder="1" applyFill="1" applyFont="1">
      <alignment shrinkToFit="0" vertical="bottom" wrapText="0"/>
    </xf>
    <xf borderId="9" fillId="8" fontId="28" numFmtId="0" xfId="0" applyAlignment="1" applyBorder="1" applyFont="1">
      <alignment shrinkToFit="0" vertical="bottom" wrapText="0"/>
    </xf>
    <xf borderId="9" fillId="8" fontId="29" numFmtId="0" xfId="0" applyAlignment="1" applyBorder="1" applyFont="1">
      <alignment readingOrder="0"/>
    </xf>
    <xf borderId="10" fillId="0" fontId="7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horizontal="center" shrinkToFit="0" vertical="bottom" wrapText="0"/>
    </xf>
    <xf borderId="11" fillId="0" fontId="30" numFmtId="0" xfId="0" applyAlignment="1" applyBorder="1" applyFont="1">
      <alignment horizontal="center" shrinkToFit="0" vertical="bottom" wrapText="0"/>
    </xf>
    <xf borderId="8" fillId="9" fontId="31" numFmtId="0" xfId="0" applyAlignment="1" applyBorder="1" applyFill="1" applyFont="1">
      <alignment horizontal="left" readingOrder="0"/>
    </xf>
    <xf borderId="11" fillId="0" fontId="31" numFmtId="0" xfId="0" applyAlignment="1" applyBorder="1" applyFont="1">
      <alignment horizontal="center" readingOrder="0"/>
    </xf>
    <xf borderId="11" fillId="0" fontId="6" numFmtId="0" xfId="0" applyAlignment="1" applyBorder="1" applyFont="1">
      <alignment readingOrder="0"/>
    </xf>
    <xf borderId="11" fillId="0" fontId="31" numFmtId="0" xfId="0" applyAlignment="1" applyBorder="1" applyFont="1">
      <alignment horizontal="center" shrinkToFit="0" vertical="bottom" wrapText="0"/>
    </xf>
    <xf borderId="8" fillId="9" fontId="31" numFmtId="0" xfId="0" applyAlignment="1" applyBorder="1" applyFont="1">
      <alignment horizontal="center" readingOrder="0"/>
    </xf>
    <xf borderId="11" fillId="0" fontId="6" numFmtId="0" xfId="0" applyBorder="1" applyFont="1"/>
    <xf borderId="11" fillId="0" fontId="30" numFmtId="0" xfId="0" applyAlignment="1" applyBorder="1" applyFont="1">
      <alignment horizontal="center" readingOrder="0" shrinkToFit="0" vertical="bottom" wrapText="0"/>
    </xf>
    <xf borderId="8" fillId="0" fontId="6" numFmtId="0" xfId="0" applyAlignment="1" applyBorder="1" applyFont="1">
      <alignment horizontal="center" readingOrder="0" shrinkToFit="0" vertical="bottom" wrapText="0"/>
    </xf>
    <xf borderId="8" fillId="0" fontId="6" numFmtId="0" xfId="0" applyAlignment="1" applyBorder="1" applyFont="1">
      <alignment horizontal="center"/>
    </xf>
    <xf borderId="11" fillId="0" fontId="31" numFmtId="0" xfId="0" applyAlignment="1" applyBorder="1" applyFont="1">
      <alignment horizontal="center"/>
    </xf>
    <xf borderId="8" fillId="0" fontId="6" numFmtId="0" xfId="0" applyAlignment="1" applyBorder="1" applyFont="1">
      <alignment horizontal="center" shrinkToFit="0" vertical="bottom" wrapText="0"/>
    </xf>
    <xf borderId="10" fillId="0" fontId="32" numFmtId="0" xfId="0" applyAlignment="1" applyBorder="1" applyFont="1">
      <alignment shrinkToFit="0" vertical="bottom" wrapText="0"/>
    </xf>
    <xf borderId="11" fillId="0" fontId="32" numFmtId="0" xfId="0" applyAlignment="1" applyBorder="1" applyFont="1">
      <alignment horizontal="center" shrinkToFit="0" vertical="bottom" wrapText="0"/>
    </xf>
    <xf borderId="11" fillId="0" fontId="10" numFmtId="0" xfId="0" applyBorder="1" applyFont="1"/>
    <xf borderId="8" fillId="0" fontId="10" numFmtId="0" xfId="0" applyAlignment="1" applyBorder="1" applyFont="1">
      <alignment horizontal="center" readingOrder="0" shrinkToFit="0" vertical="bottom" wrapText="0"/>
    </xf>
    <xf borderId="8" fillId="0" fontId="10" numFmtId="0" xfId="0" applyAlignment="1" applyBorder="1" applyFont="1">
      <alignment horizontal="center"/>
    </xf>
    <xf borderId="8" fillId="0" fontId="13" numFmtId="0" xfId="0" applyAlignment="1" applyBorder="1" applyFont="1">
      <alignment horizontal="center" shrinkToFit="0" vertical="bottom" wrapText="0"/>
    </xf>
    <xf borderId="10" fillId="0" fontId="33" numFmtId="0" xfId="0" applyAlignment="1" applyBorder="1" applyFont="1">
      <alignment shrinkToFit="0" vertical="bottom" wrapText="0"/>
    </xf>
    <xf borderId="11" fillId="0" fontId="33" numFmtId="0" xfId="0" applyAlignment="1" applyBorder="1" applyFont="1">
      <alignment horizontal="center" shrinkToFit="0" vertical="bottom" wrapText="0"/>
    </xf>
    <xf borderId="10" fillId="0" fontId="25" numFmtId="0" xfId="0" applyAlignment="1" applyBorder="1" applyFont="1">
      <alignment shrinkToFit="0" vertical="bottom" wrapText="0"/>
    </xf>
    <xf borderId="11" fillId="0" fontId="25" numFmtId="0" xfId="0" applyAlignment="1" applyBorder="1" applyFont="1">
      <alignment horizontal="center" shrinkToFit="0" vertical="bottom" wrapText="0"/>
    </xf>
    <xf borderId="11" fillId="0" fontId="12" numFmtId="0" xfId="0" applyBorder="1" applyFont="1"/>
    <xf borderId="8" fillId="0" fontId="12" numFmtId="0" xfId="0" applyAlignment="1" applyBorder="1" applyFont="1">
      <alignment horizontal="center" readingOrder="0" shrinkToFit="0" vertical="bottom" wrapText="0"/>
    </xf>
    <xf borderId="8" fillId="0" fontId="12" numFmtId="0" xfId="0" applyAlignment="1" applyBorder="1" applyFont="1">
      <alignment horizontal="center"/>
    </xf>
    <xf borderId="8" fillId="0" fontId="15" numFmtId="0" xfId="0" applyAlignment="1" applyBorder="1" applyFont="1">
      <alignment horizontal="center" shrinkToFit="0" vertical="bottom" wrapText="0"/>
    </xf>
    <xf borderId="10" fillId="0" fontId="34" numFmtId="0" xfId="0" applyAlignment="1" applyBorder="1" applyFont="1">
      <alignment shrinkToFit="0" vertical="bottom" wrapText="0"/>
    </xf>
    <xf borderId="11" fillId="0" fontId="34" numFmtId="0" xfId="0" applyAlignment="1" applyBorder="1" applyFont="1">
      <alignment horizontal="center" shrinkToFit="0" vertical="bottom" wrapText="0"/>
    </xf>
    <xf borderId="10" fillId="0" fontId="35" numFmtId="0" xfId="0" applyAlignment="1" applyBorder="1" applyFont="1">
      <alignment shrinkToFit="0" vertical="bottom" wrapText="0"/>
    </xf>
    <xf borderId="11" fillId="0" fontId="35" numFmtId="0" xfId="0" applyAlignment="1" applyBorder="1" applyFont="1">
      <alignment horizontal="center" shrinkToFit="0" vertical="bottom" wrapText="0"/>
    </xf>
    <xf borderId="10" fillId="0" fontId="36" numFmtId="0" xfId="0" applyAlignment="1" applyBorder="1" applyFont="1">
      <alignment shrinkToFit="0" vertical="bottom" wrapText="0"/>
    </xf>
    <xf borderId="11" fillId="0" fontId="36" numFmtId="0" xfId="0" applyAlignment="1" applyBorder="1" applyFont="1">
      <alignment horizontal="center" shrinkToFit="0" vertical="bottom" wrapText="0"/>
    </xf>
    <xf borderId="11" fillId="0" fontId="21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horizontal="center" shrinkToFit="0" vertical="bottom" wrapText="0"/>
    </xf>
    <xf borderId="11" fillId="0" fontId="3" numFmtId="0" xfId="0" applyAlignment="1" applyBorder="1" applyFont="1">
      <alignment shrinkToFit="0" vertical="bottom" wrapText="0"/>
    </xf>
    <xf borderId="10" fillId="10" fontId="21" numFmtId="0" xfId="0" applyAlignment="1" applyBorder="1" applyFill="1" applyFont="1">
      <alignment shrinkToFit="0" vertical="bottom" wrapText="0"/>
    </xf>
    <xf borderId="11" fillId="10" fontId="21" numFmtId="0" xfId="0" applyAlignment="1" applyBorder="1" applyFont="1">
      <alignment shrinkToFit="0" vertical="bottom" wrapText="0"/>
    </xf>
    <xf borderId="11" fillId="10" fontId="21" numFmtId="0" xfId="0" applyAlignment="1" applyBorder="1" applyFont="1">
      <alignment horizontal="center" shrinkToFit="0" vertical="bottom" wrapText="0"/>
    </xf>
    <xf borderId="11" fillId="10" fontId="3" numFmtId="0" xfId="0" applyAlignment="1" applyBorder="1" applyFont="1">
      <alignment horizontal="center" readingOrder="0" shrinkToFit="0" vertical="bottom" wrapText="0"/>
    </xf>
    <xf borderId="11" fillId="10" fontId="3" numFmtId="0" xfId="0" applyAlignment="1" applyBorder="1" applyFont="1">
      <alignment horizontal="center" shrinkToFit="0" vertical="bottom" wrapText="0"/>
    </xf>
    <xf borderId="11" fillId="10" fontId="3" numFmtId="0" xfId="0" applyAlignment="1" applyBorder="1" applyFont="1">
      <alignment shrinkToFit="0" vertical="bottom" wrapText="0"/>
    </xf>
    <xf borderId="10" fillId="10" fontId="16" numFmtId="0" xfId="0" applyAlignment="1" applyBorder="1" applyFont="1">
      <alignment shrinkToFit="0" vertical="bottom" wrapText="0"/>
    </xf>
    <xf borderId="11" fillId="10" fontId="16" numFmtId="0" xfId="0" applyAlignment="1" applyBorder="1" applyFont="1">
      <alignment shrinkToFit="0" vertical="bottom" wrapText="0"/>
    </xf>
    <xf borderId="11" fillId="10" fontId="21" numFmtId="0" xfId="0" applyAlignment="1" applyBorder="1" applyFont="1">
      <alignment horizontal="right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12" fillId="0" fontId="31" numFmtId="0" xfId="0" applyAlignment="1" applyBorder="1" applyFont="1">
      <alignment shrinkToFit="0" vertical="bottom" wrapText="0"/>
    </xf>
    <xf borderId="12" fillId="0" fontId="31" numFmtId="0" xfId="0" applyAlignment="1" applyBorder="1" applyFont="1">
      <alignment horizontal="right" shrinkToFit="0" vertical="bottom" wrapText="0"/>
    </xf>
    <xf borderId="12" fillId="0" fontId="37" numFmtId="0" xfId="0" applyAlignment="1" applyBorder="1" applyFont="1">
      <alignment shrinkToFit="0" vertical="bottom" wrapText="0"/>
    </xf>
    <xf borderId="12" fillId="0" fontId="27" numFmtId="0" xfId="0" applyAlignment="1" applyBorder="1" applyFont="1">
      <alignment shrinkToFit="0" vertical="bottom" wrapText="0"/>
    </xf>
    <xf borderId="12" fillId="0" fontId="38" numFmtId="0" xfId="0" applyBorder="1" applyFont="1"/>
    <xf borderId="12" fillId="0" fontId="3" numFmtId="0" xfId="0" applyBorder="1" applyFont="1"/>
    <xf borderId="0" fillId="0" fontId="31" numFmtId="0" xfId="0" applyAlignment="1" applyFont="1">
      <alignment shrinkToFit="0" vertical="bottom" wrapText="0"/>
    </xf>
    <xf borderId="0" fillId="0" fontId="31" numFmtId="0" xfId="0" applyAlignment="1" applyFont="1">
      <alignment horizontal="right" readingOrder="0" shrinkToFit="0" vertical="bottom" wrapText="0"/>
    </xf>
    <xf borderId="0" fillId="0" fontId="37" numFmtId="0" xfId="0" applyAlignment="1" applyFont="1">
      <alignment shrinkToFit="0" vertical="bottom" wrapText="0"/>
    </xf>
    <xf borderId="0" fillId="0" fontId="3" numFmtId="0" xfId="0" applyFont="1"/>
    <xf borderId="9" fillId="8" fontId="28" numFmtId="0" xfId="0" applyAlignment="1" applyBorder="1" applyFont="1">
      <alignment readingOrder="0" shrinkToFit="0" vertical="bottom" wrapText="0"/>
    </xf>
    <xf borderId="8" fillId="8" fontId="29" numFmtId="0" xfId="0" applyAlignment="1" applyBorder="1" applyFont="1">
      <alignment readingOrder="0"/>
    </xf>
    <xf borderId="11" fillId="0" fontId="7" numFmtId="0" xfId="0" applyAlignment="1" applyBorder="1" applyFont="1">
      <alignment shrinkToFit="0" vertical="bottom" wrapText="0"/>
    </xf>
    <xf borderId="11" fillId="0" fontId="30" numFmtId="0" xfId="0" applyAlignment="1" applyBorder="1" applyFont="1">
      <alignment horizontal="right" shrinkToFit="0" vertical="bottom" wrapText="0"/>
    </xf>
    <xf borderId="8" fillId="0" fontId="31" numFmtId="0" xfId="0" applyAlignment="1" applyBorder="1" applyFont="1">
      <alignment horizontal="left" readingOrder="0"/>
    </xf>
    <xf borderId="8" fillId="0" fontId="31" numFmtId="0" xfId="0" applyAlignment="1" applyBorder="1" applyFont="1">
      <alignment readingOrder="0"/>
    </xf>
    <xf borderId="8" fillId="0" fontId="39" numFmtId="0" xfId="0" applyBorder="1" applyFont="1"/>
    <xf borderId="11" fillId="0" fontId="30" numFmtId="0" xfId="0" applyAlignment="1" applyBorder="1" applyFont="1">
      <alignment shrinkToFit="0" vertical="bottom" wrapText="0"/>
    </xf>
    <xf borderId="8" fillId="0" fontId="31" numFmtId="0" xfId="0" applyBorder="1" applyFont="1"/>
    <xf borderId="11" fillId="0" fontId="32" numFmtId="0" xfId="0" applyAlignment="1" applyBorder="1" applyFont="1">
      <alignment shrinkToFit="0" vertical="bottom" wrapText="0"/>
    </xf>
    <xf borderId="8" fillId="0" fontId="40" numFmtId="0" xfId="0" applyBorder="1" applyFont="1"/>
    <xf borderId="8" fillId="0" fontId="41" numFmtId="0" xfId="0" applyBorder="1" applyFont="1"/>
    <xf borderId="11" fillId="0" fontId="33" numFmtId="0" xfId="0" applyAlignment="1" applyBorder="1" applyFont="1">
      <alignment shrinkToFit="0" vertical="bottom" wrapText="0"/>
    </xf>
    <xf borderId="11" fillId="0" fontId="25" numFmtId="0" xfId="0" applyAlignment="1" applyBorder="1" applyFont="1">
      <alignment shrinkToFit="0" vertical="bottom" wrapText="0"/>
    </xf>
    <xf borderId="11" fillId="0" fontId="34" numFmtId="0" xfId="0" applyAlignment="1" applyBorder="1" applyFont="1">
      <alignment shrinkToFit="0" vertical="bottom" wrapText="0"/>
    </xf>
    <xf borderId="10" fillId="0" fontId="34" numFmtId="0" xfId="0" applyAlignment="1" applyBorder="1" applyFont="1">
      <alignment readingOrder="0" shrinkToFit="0" vertical="bottom" wrapText="0"/>
    </xf>
    <xf borderId="11" fillId="0" fontId="35" numFmtId="0" xfId="0" applyAlignment="1" applyBorder="1" applyFont="1">
      <alignment shrinkToFit="0" vertical="bottom" wrapText="0"/>
    </xf>
    <xf borderId="11" fillId="0" fontId="36" numFmtId="0" xfId="0" applyAlignment="1" applyBorder="1" applyFont="1">
      <alignment shrinkToFit="0" vertical="bottom" wrapText="0"/>
    </xf>
    <xf borderId="8" fillId="10" fontId="10" numFmtId="0" xfId="0" applyBorder="1" applyFont="1"/>
    <xf borderId="8" fillId="10" fontId="42" numFmtId="0" xfId="0" applyBorder="1" applyFont="1"/>
    <xf borderId="8" fillId="10" fontId="43" numFmtId="0" xfId="0" applyBorder="1" applyFont="1"/>
    <xf borderId="8" fillId="10" fontId="38" numFmtId="0" xfId="0" applyBorder="1" applyFont="1"/>
    <xf borderId="0" fillId="0" fontId="40" numFmtId="0" xfId="0" applyAlignment="1" applyFont="1">
      <alignment shrinkToFit="0" vertical="bottom" wrapText="0"/>
    </xf>
    <xf borderId="0" fillId="0" fontId="40" numFmtId="0" xfId="0" applyAlignment="1" applyFont="1">
      <alignment horizontal="right" shrinkToFit="0" vertical="bottom" wrapText="0"/>
    </xf>
    <xf borderId="0" fillId="0" fontId="44" numFmtId="0" xfId="0" applyAlignment="1" applyFont="1">
      <alignment horizontal="right" shrinkToFit="0" vertical="bottom" wrapText="0"/>
    </xf>
    <xf borderId="0" fillId="0" fontId="42" numFmtId="0" xfId="0" applyFont="1"/>
    <xf borderId="0" fillId="0" fontId="31" numFmtId="0" xfId="0" applyAlignment="1" applyFont="1">
      <alignment horizontal="right" shrinkToFit="0" vertical="bottom" wrapText="0"/>
    </xf>
    <xf borderId="13" fillId="8" fontId="29" numFmtId="0" xfId="0" applyAlignment="1" applyBorder="1" applyFont="1">
      <alignment readingOrder="0"/>
    </xf>
    <xf borderId="14" fillId="8" fontId="28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horizontal="right" shrinkToFit="0" vertical="bottom" wrapText="0"/>
    </xf>
    <xf borderId="11" fillId="0" fontId="30" numFmtId="0" xfId="0" applyAlignment="1" applyBorder="1" applyFont="1">
      <alignment readingOrder="0" shrinkToFit="0" vertical="bottom" wrapText="0"/>
    </xf>
    <xf borderId="7" fillId="0" fontId="30" numFmtId="0" xfId="0" applyAlignment="1" applyBorder="1" applyFont="1">
      <alignment horizontal="center" shrinkToFit="0" vertical="bottom" wrapText="0"/>
    </xf>
    <xf borderId="8" fillId="0" fontId="6" numFmtId="0" xfId="0" applyAlignment="1" applyBorder="1" applyFont="1">
      <alignment shrinkToFit="0" vertical="bottom" wrapText="0"/>
    </xf>
    <xf borderId="0" fillId="0" fontId="10" numFmtId="0" xfId="0" applyFont="1"/>
    <xf borderId="8" fillId="9" fontId="31" numFmtId="0" xfId="0" applyAlignment="1" applyBorder="1" applyFont="1">
      <alignment horizontal="center"/>
    </xf>
    <xf borderId="8" fillId="0" fontId="6" numFmtId="0" xfId="0" applyAlignment="1" applyBorder="1" applyFont="1">
      <alignment readingOrder="0" shrinkToFit="0" vertical="bottom" wrapText="0"/>
    </xf>
    <xf borderId="0" fillId="0" fontId="43" numFmtId="0" xfId="0" applyFont="1"/>
    <xf borderId="11" fillId="0" fontId="45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horizontal="center" shrinkToFit="0" vertical="bottom" wrapText="0"/>
    </xf>
    <xf borderId="8" fillId="0" fontId="10" numFmtId="0" xfId="0" applyAlignment="1" applyBorder="1" applyFont="1">
      <alignment shrinkToFit="0" vertical="bottom" wrapText="0"/>
    </xf>
    <xf borderId="11" fillId="0" fontId="32" numFmtId="0" xfId="0" applyAlignment="1" applyBorder="1" applyFont="1">
      <alignment horizontal="right" shrinkToFit="0" vertical="bottom" wrapText="0"/>
    </xf>
    <xf borderId="8" fillId="0" fontId="10" numFmtId="0" xfId="0" applyAlignment="1" applyBorder="1" applyFont="1">
      <alignment readingOrder="0" shrinkToFit="0" vertical="bottom" wrapText="0"/>
    </xf>
    <xf borderId="11" fillId="0" fontId="33" numFmtId="0" xfId="0" applyAlignment="1" applyBorder="1" applyFont="1">
      <alignment horizontal="right" shrinkToFit="0" vertical="bottom" wrapText="0"/>
    </xf>
    <xf borderId="8" fillId="0" fontId="12" numFmtId="0" xfId="0" applyAlignment="1" applyBorder="1" applyFont="1">
      <alignment shrinkToFit="0" vertical="bottom" wrapText="0"/>
    </xf>
    <xf borderId="11" fillId="0" fontId="25" numFmtId="0" xfId="0" applyAlignment="1" applyBorder="1" applyFont="1">
      <alignment horizontal="right" shrinkToFit="0" vertical="bottom" wrapText="0"/>
    </xf>
    <xf borderId="8" fillId="0" fontId="12" numFmtId="0" xfId="0" applyAlignment="1" applyBorder="1" applyFont="1">
      <alignment horizontal="center" shrinkToFit="0" vertical="bottom" wrapText="0"/>
    </xf>
    <xf borderId="11" fillId="0" fontId="33" numFmtId="0" xfId="0" applyAlignment="1" applyBorder="1" applyFont="1">
      <alignment horizontal="right" readingOrder="0" shrinkToFit="0" vertical="bottom" wrapText="0"/>
    </xf>
    <xf borderId="11" fillId="0" fontId="34" numFmtId="0" xfId="0" applyAlignment="1" applyBorder="1" applyFont="1">
      <alignment horizontal="right" shrinkToFit="0" vertical="bottom" wrapText="0"/>
    </xf>
    <xf borderId="8" fillId="0" fontId="15" numFmtId="0" xfId="0" applyAlignment="1" applyBorder="1" applyFont="1">
      <alignment shrinkToFit="0" vertical="bottom" wrapText="0"/>
    </xf>
    <xf borderId="8" fillId="0" fontId="18" numFmtId="0" xfId="0" applyAlignment="1" applyBorder="1" applyFont="1">
      <alignment horizontal="center" shrinkToFit="0" vertical="bottom" wrapText="0"/>
    </xf>
    <xf borderId="8" fillId="0" fontId="18" numFmtId="0" xfId="0" applyAlignment="1" applyBorder="1" applyFont="1">
      <alignment shrinkToFit="0" vertical="bottom" wrapText="0"/>
    </xf>
    <xf borderId="11" fillId="0" fontId="36" numFmtId="0" xfId="0" applyAlignment="1" applyBorder="1" applyFont="1">
      <alignment horizontal="right" shrinkToFit="0" vertical="bottom" wrapText="0"/>
    </xf>
    <xf borderId="8" fillId="0" fontId="20" numFmtId="0" xfId="0" applyAlignment="1" applyBorder="1" applyFont="1">
      <alignment shrinkToFit="0" vertical="bottom" wrapText="0"/>
    </xf>
    <xf borderId="10" fillId="0" fontId="30" numFmtId="0" xfId="0" applyAlignment="1" applyBorder="1" applyFont="1">
      <alignment shrinkToFit="0" vertical="bottom" wrapText="0"/>
    </xf>
    <xf borderId="8" fillId="0" fontId="31" numFmtId="0" xfId="0" applyAlignment="1" applyBorder="1" applyFont="1">
      <alignment horizontal="center" shrinkToFit="0" vertical="bottom" wrapText="0"/>
    </xf>
    <xf borderId="8" fillId="0" fontId="31" numFmtId="0" xfId="0" applyAlignment="1" applyBorder="1" applyFont="1">
      <alignment shrinkToFit="0" vertical="bottom" wrapText="0"/>
    </xf>
    <xf borderId="11" fillId="10" fontId="30" numFmtId="0" xfId="0" applyAlignment="1" applyBorder="1" applyFont="1">
      <alignment horizontal="center" shrinkToFit="0" vertical="bottom" wrapText="0"/>
    </xf>
    <xf borderId="12" fillId="0" fontId="30" numFmtId="0" xfId="0" applyAlignment="1" applyBorder="1" applyFont="1">
      <alignment shrinkToFit="0" vertical="bottom" wrapText="0"/>
    </xf>
    <xf borderId="12" fillId="0" fontId="30" numFmtId="0" xfId="0" applyAlignment="1" applyBorder="1" applyFont="1">
      <alignment horizontal="right" shrinkToFit="0" vertical="bottom" wrapText="0"/>
    </xf>
    <xf borderId="0" fillId="0" fontId="30" numFmtId="0" xfId="0" applyAlignment="1" applyFont="1">
      <alignment shrinkToFit="0" vertical="bottom" wrapText="0"/>
    </xf>
    <xf borderId="0" fillId="0" fontId="30" numFmtId="0" xfId="0" applyAlignment="1" applyFont="1">
      <alignment horizontal="right" shrinkToFit="0" vertical="bottom" wrapText="0"/>
    </xf>
    <xf borderId="11" fillId="0" fontId="7" numFmtId="0" xfId="0" applyAlignment="1" applyBorder="1" applyFont="1">
      <alignment horizontal="right" readingOrder="0" shrinkToFit="0" vertical="bottom" wrapText="0"/>
    </xf>
    <xf borderId="11" fillId="0" fontId="6" numFmtId="0" xfId="0" applyAlignment="1" applyBorder="1" applyFont="1">
      <alignment horizontal="center" shrinkToFit="0" vertical="bottom" wrapText="0"/>
    </xf>
    <xf borderId="8" fillId="9" fontId="37" numFmtId="0" xfId="0" applyAlignment="1" applyBorder="1" applyFont="1">
      <alignment horizontal="center" readingOrder="0"/>
    </xf>
    <xf borderId="11" fillId="0" fontId="10" numFmtId="0" xfId="0" applyAlignment="1" applyBorder="1" applyFont="1">
      <alignment horizontal="center" shrinkToFit="0" vertical="bottom" wrapText="0"/>
    </xf>
    <xf borderId="10" fillId="0" fontId="32" numFmtId="0" xfId="0" applyAlignment="1" applyBorder="1" applyFont="1">
      <alignment readingOrder="0" shrinkToFit="0" vertical="bottom" wrapText="0"/>
    </xf>
    <xf borderId="11" fillId="0" fontId="9" numFmtId="0" xfId="0" applyBorder="1" applyFont="1"/>
    <xf borderId="8" fillId="0" fontId="10" numFmtId="0" xfId="0" applyAlignment="1" applyBorder="1" applyFont="1">
      <alignment horizontal="center" readingOrder="0"/>
    </xf>
    <xf borderId="11" fillId="0" fontId="13" numFmtId="0" xfId="0" applyAlignment="1" applyBorder="1" applyFont="1">
      <alignment horizontal="center" shrinkToFit="0" vertical="bottom" wrapText="0"/>
    </xf>
    <xf borderId="11" fillId="0" fontId="12" numFmtId="0" xfId="0" applyAlignment="1" applyBorder="1" applyFont="1">
      <alignment horizontal="center" shrinkToFit="0" vertical="bottom" wrapText="0"/>
    </xf>
    <xf borderId="11" fillId="0" fontId="15" numFmtId="0" xfId="0" applyAlignment="1" applyBorder="1" applyFont="1">
      <alignment horizontal="center" shrinkToFit="0" vertical="bottom" wrapText="0"/>
    </xf>
    <xf borderId="11" fillId="0" fontId="35" numFmtId="0" xfId="0" applyAlignment="1" applyBorder="1" applyFont="1">
      <alignment horizontal="right" shrinkToFit="0" vertical="bottom" wrapText="0"/>
    </xf>
    <xf borderId="11" fillId="0" fontId="18" numFmtId="0" xfId="0" applyAlignment="1" applyBorder="1" applyFont="1">
      <alignment horizontal="center" shrinkToFit="0" vertical="bottom" wrapText="0"/>
    </xf>
    <xf borderId="11" fillId="0" fontId="20" numFmtId="0" xfId="0" applyAlignment="1" applyBorder="1" applyFont="1">
      <alignment horizontal="center" shrinkToFit="0" vertical="bottom" wrapText="0"/>
    </xf>
    <xf borderId="8" fillId="0" fontId="20" numFmtId="0" xfId="0" applyAlignment="1" applyBorder="1" applyFont="1">
      <alignment horizontal="center" shrinkToFit="0" vertical="bottom" wrapText="0"/>
    </xf>
    <xf borderId="11" fillId="10" fontId="30" numFmtId="0" xfId="0" applyAlignment="1" applyBorder="1" applyFont="1">
      <alignment shrinkToFit="0" vertical="bottom" wrapText="0"/>
    </xf>
    <xf borderId="11" fillId="10" fontId="30" numFmtId="0" xfId="0" applyAlignment="1" applyBorder="1" applyFont="1">
      <alignment horizontal="right" shrinkToFit="0" vertical="bottom" wrapText="0"/>
    </xf>
    <xf borderId="0" fillId="0" fontId="30" numFmtId="0" xfId="0" applyFont="1"/>
    <xf borderId="0" fillId="0" fontId="37" numFmtId="0" xfId="0" applyAlignment="1" applyFont="1">
      <alignment horizontal="right" shrinkToFit="0" vertical="bottom" wrapText="0"/>
    </xf>
    <xf borderId="12" fillId="0" fontId="30" numFmtId="0" xfId="0" applyBorder="1" applyFont="1"/>
    <xf borderId="12" fillId="0" fontId="21" numFmtId="0" xfId="0" applyBorder="1" applyFont="1"/>
    <xf borderId="0" fillId="0" fontId="21" numFmtId="0" xfId="0" applyFont="1"/>
    <xf borderId="0" fillId="9" fontId="46" numFmtId="0" xfId="0" applyFont="1"/>
    <xf borderId="8" fillId="10" fontId="21" numFmtId="0" xfId="0" applyAlignment="1" applyBorder="1" applyFont="1">
      <alignment horizontal="center" vertical="bottom"/>
    </xf>
    <xf borderId="10" fillId="10" fontId="21" numFmtId="0" xfId="0" applyAlignment="1" applyBorder="1" applyFont="1">
      <alignment horizontal="center" vertical="bottom"/>
    </xf>
    <xf borderId="11" fillId="10" fontId="21" numFmtId="0" xfId="0" applyAlignment="1" applyBorder="1" applyFont="1">
      <alignment readingOrder="0" shrinkToFit="0" vertical="bottom" wrapText="0"/>
    </xf>
    <xf borderId="12" fillId="0" fontId="31" numFmtId="0" xfId="0" applyBorder="1" applyFont="1"/>
    <xf borderId="0" fillId="9" fontId="31" numFmtId="0" xfId="0" applyFont="1"/>
    <xf borderId="11" fillId="0" fontId="30" numFmtId="0" xfId="0" applyAlignment="1" applyBorder="1" applyFont="1">
      <alignment horizontal="left" readingOrder="0" shrinkToFit="0" vertical="bottom" wrapText="0"/>
    </xf>
    <xf borderId="12" fillId="0" fontId="31" numFmtId="0" xfId="0" applyAlignment="1" applyBorder="1" applyFont="1">
      <alignment horizontal="left" shrinkToFit="0" vertical="bottom" wrapText="0"/>
    </xf>
    <xf borderId="12" fillId="0" fontId="31" numFmtId="0" xfId="0" applyAlignment="1" applyBorder="1" applyFont="1">
      <alignment horizontal="right"/>
    </xf>
    <xf borderId="15" fillId="0" fontId="31" numFmtId="0" xfId="0" applyAlignment="1" applyBorder="1" applyFont="1">
      <alignment horizontal="left" shrinkToFit="0" vertical="bottom" wrapText="0"/>
    </xf>
    <xf borderId="15" fillId="0" fontId="31" numFmtId="0" xfId="0" applyAlignment="1" applyBorder="1" applyFont="1">
      <alignment horizontal="right" shrinkToFit="0" vertical="bottom" wrapText="0"/>
    </xf>
    <xf borderId="12" fillId="0" fontId="40" numFmtId="0" xfId="0" applyAlignment="1" applyBorder="1" applyFont="1">
      <alignment shrinkToFit="0" vertical="bottom" wrapText="0"/>
    </xf>
    <xf borderId="15" fillId="0" fontId="27" numFmtId="0" xfId="0" applyAlignment="1" applyBorder="1" applyFont="1">
      <alignment shrinkToFit="0" vertical="bottom" wrapText="0"/>
    </xf>
    <xf borderId="10" fillId="0" fontId="33" numFmtId="0" xfId="0" applyAlignment="1" applyBorder="1" applyFont="1">
      <alignment readingOrder="0" shrinkToFit="0" vertical="bottom" wrapText="0"/>
    </xf>
    <xf borderId="11" fillId="0" fontId="45" numFmtId="0" xfId="0" applyAlignment="1" applyBorder="1" applyFont="1">
      <alignment horizontal="center" readingOrder="0" shrinkToFit="0" vertical="bottom" wrapText="0"/>
    </xf>
    <xf borderId="11" fillId="0" fontId="25" numFmtId="0" xfId="0" applyAlignment="1" applyBorder="1" applyFont="1">
      <alignment horizontal="center" readingOrder="0" shrinkToFit="0" vertical="bottom" wrapText="0"/>
    </xf>
    <xf borderId="11" fillId="0" fontId="25" numFmtId="0" xfId="0" applyAlignment="1" applyBorder="1" applyFont="1">
      <alignment readingOrder="0" shrinkToFit="0" vertical="bottom" wrapText="0"/>
    </xf>
    <xf borderId="11" fillId="0" fontId="34" numFmtId="0" xfId="0" applyAlignment="1" applyBorder="1" applyFont="1">
      <alignment readingOrder="0" shrinkToFit="0" vertical="bottom" wrapText="0"/>
    </xf>
    <xf borderId="11" fillId="10" fontId="30" numFmtId="0" xfId="0" applyAlignment="1" applyBorder="1" applyFont="1">
      <alignment horizontal="right" readingOrder="0" shrinkToFit="0" vertical="bottom" wrapText="0"/>
    </xf>
    <xf borderId="11" fillId="0" fontId="32" numFmtId="0" xfId="0" applyAlignment="1" applyBorder="1" applyFont="1">
      <alignment readingOrder="0" shrinkToFit="0" vertical="bottom" wrapText="0"/>
    </xf>
    <xf borderId="10" fillId="10" fontId="16" numFmtId="0" xfId="0" applyAlignment="1" applyBorder="1" applyFont="1">
      <alignment readingOrder="0" shrinkToFit="0" vertical="bottom" wrapText="0"/>
    </xf>
    <xf borderId="11" fillId="10" fontId="21" numFmtId="0" xfId="0" applyAlignment="1" applyBorder="1" applyFont="1">
      <alignment horizontal="right" readingOrder="0" shrinkToFit="0" vertical="bottom" wrapText="0"/>
    </xf>
    <xf borderId="11" fillId="10" fontId="30" numFmtId="0" xfId="0" applyAlignment="1" applyBorder="1" applyFont="1">
      <alignment horizontal="center" readingOrder="0" shrinkToFit="0" vertical="bottom" wrapText="0"/>
    </xf>
    <xf borderId="11" fillId="10" fontId="21" numFmtId="0" xfId="0" applyAlignment="1" applyBorder="1" applyFont="1">
      <alignment horizontal="center" readingOrder="0" shrinkToFit="0" vertical="bottom" wrapText="0"/>
    </xf>
    <xf borderId="8" fillId="8" fontId="29" numFmtId="0" xfId="0" applyBorder="1" applyFont="1"/>
    <xf borderId="8" fillId="0" fontId="6" numFmtId="0" xfId="0" applyBorder="1" applyFont="1"/>
    <xf borderId="8" fillId="0" fontId="10" numFmtId="0" xfId="0" applyBorder="1" applyFont="1"/>
    <xf borderId="8" fillId="0" fontId="9" numFmtId="0" xfId="0" applyBorder="1" applyFont="1"/>
    <xf borderId="8" fillId="0" fontId="13" numFmtId="0" xfId="0" applyBorder="1" applyFont="1"/>
    <xf borderId="8" fillId="0" fontId="12" numFmtId="0" xfId="0" applyBorder="1" applyFont="1"/>
    <xf borderId="8" fillId="0" fontId="15" numFmtId="0" xfId="0" applyBorder="1" applyFont="1"/>
    <xf borderId="8" fillId="0" fontId="18" numFmtId="0" xfId="0" applyBorder="1" applyFont="1"/>
    <xf borderId="8" fillId="0" fontId="20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71"/>
    <col customWidth="1" min="3" max="3" width="3.71"/>
    <col customWidth="1" min="4" max="4" width="14.86"/>
    <col customWidth="1" min="5" max="5" width="3.71"/>
    <col customWidth="1" min="6" max="6" width="15.71"/>
    <col customWidth="1" min="7" max="7" width="3.71"/>
    <col customWidth="1" min="8" max="8" width="15.86"/>
    <col customWidth="1" min="9" max="9" width="3.71"/>
    <col customWidth="1" min="10" max="10" width="16.71"/>
    <col customWidth="1" min="11" max="11" width="3.71"/>
    <col customWidth="1" min="12" max="12" width="15.86"/>
    <col customWidth="1" min="13" max="13" width="3.71"/>
    <col customWidth="1" min="14" max="14" width="7.14"/>
    <col customWidth="1" min="15" max="26" width="9.14"/>
  </cols>
  <sheetData>
    <row r="1" ht="12.7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3"/>
      <c r="B2" s="4" t="s">
        <v>0</v>
      </c>
      <c r="C2" s="4"/>
      <c r="D2" s="4" t="s">
        <v>1</v>
      </c>
      <c r="E2" s="4"/>
      <c r="F2" s="4" t="s">
        <v>2</v>
      </c>
      <c r="G2" s="4"/>
      <c r="H2" s="4" t="s">
        <v>3</v>
      </c>
      <c r="I2" s="4"/>
      <c r="J2" s="4" t="s">
        <v>4</v>
      </c>
      <c r="K2" s="4"/>
      <c r="L2" s="4" t="s">
        <v>5</v>
      </c>
      <c r="M2" s="4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6" t="s">
        <v>6</v>
      </c>
      <c r="B3" s="7" t="s">
        <v>7</v>
      </c>
      <c r="C3" s="6" t="s">
        <v>8</v>
      </c>
      <c r="D3" s="7" t="s">
        <v>7</v>
      </c>
      <c r="E3" s="6" t="s">
        <v>8</v>
      </c>
      <c r="F3" s="7" t="s">
        <v>7</v>
      </c>
      <c r="G3" s="6" t="s">
        <v>8</v>
      </c>
      <c r="H3" s="7" t="s">
        <v>7</v>
      </c>
      <c r="I3" s="6" t="s">
        <v>8</v>
      </c>
      <c r="J3" s="7" t="s">
        <v>7</v>
      </c>
      <c r="K3" s="6" t="s">
        <v>8</v>
      </c>
      <c r="L3" s="7" t="s">
        <v>7</v>
      </c>
      <c r="M3" s="6" t="s">
        <v>8</v>
      </c>
      <c r="N3" s="6" t="s">
        <v>6</v>
      </c>
      <c r="O3" s="1"/>
      <c r="P3" s="1"/>
      <c r="Q3" s="1">
        <v>51.0</v>
      </c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8" t="s">
        <v>9</v>
      </c>
      <c r="B4" s="9" t="s">
        <v>10</v>
      </c>
      <c r="C4" s="10">
        <v>13.0</v>
      </c>
      <c r="D4" s="9" t="s">
        <v>11</v>
      </c>
      <c r="E4" s="10">
        <v>3.0</v>
      </c>
      <c r="F4" s="9" t="s">
        <v>12</v>
      </c>
      <c r="G4" s="10">
        <v>17.0</v>
      </c>
      <c r="H4" s="9" t="s">
        <v>13</v>
      </c>
      <c r="I4" s="10">
        <v>8.0</v>
      </c>
      <c r="J4" s="9" t="s">
        <v>14</v>
      </c>
      <c r="K4" s="10">
        <v>7.0</v>
      </c>
      <c r="L4" s="9" t="s">
        <v>15</v>
      </c>
      <c r="M4" s="10">
        <v>16.0</v>
      </c>
      <c r="N4" s="8" t="s">
        <v>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8" t="s">
        <v>9</v>
      </c>
      <c r="B5" s="11" t="s">
        <v>16</v>
      </c>
      <c r="C5" s="12">
        <v>15.0</v>
      </c>
      <c r="D5" s="9" t="s">
        <v>17</v>
      </c>
      <c r="E5" s="10">
        <v>3.0</v>
      </c>
      <c r="F5" s="13" t="s">
        <v>18</v>
      </c>
      <c r="G5" s="14">
        <v>5.0</v>
      </c>
      <c r="H5" s="9" t="s">
        <v>19</v>
      </c>
      <c r="I5" s="10">
        <v>3.0</v>
      </c>
      <c r="J5" s="15" t="s">
        <v>20</v>
      </c>
      <c r="K5" s="16">
        <v>1.0</v>
      </c>
      <c r="L5" s="17" t="s">
        <v>21</v>
      </c>
      <c r="M5" s="18">
        <v>3.0</v>
      </c>
      <c r="N5" s="8" t="s">
        <v>9</v>
      </c>
      <c r="O5" s="1"/>
      <c r="P5" s="1">
        <v>3.0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8" t="s">
        <v>9</v>
      </c>
      <c r="B6" s="9"/>
      <c r="C6" s="10"/>
      <c r="D6" s="9"/>
      <c r="E6" s="10"/>
      <c r="F6" s="9" t="s">
        <v>22</v>
      </c>
      <c r="G6" s="10">
        <v>3.0</v>
      </c>
      <c r="H6" s="9"/>
      <c r="I6" s="19"/>
      <c r="J6" s="20"/>
      <c r="K6" s="21"/>
      <c r="L6" s="22"/>
      <c r="M6" s="22"/>
      <c r="N6" s="23" t="s">
        <v>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8" t="s">
        <v>9</v>
      </c>
      <c r="B7" s="9"/>
      <c r="C7" s="10"/>
      <c r="D7" s="9"/>
      <c r="E7" s="10"/>
      <c r="F7" s="9" t="s">
        <v>23</v>
      </c>
      <c r="G7" s="10">
        <v>2.0</v>
      </c>
      <c r="H7" s="9"/>
      <c r="I7" s="19"/>
      <c r="J7" s="24"/>
      <c r="K7" s="25"/>
      <c r="L7" s="26"/>
      <c r="M7" s="26"/>
      <c r="N7" s="23" t="s">
        <v>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27" t="s">
        <v>24</v>
      </c>
      <c r="B8" s="28" t="s">
        <v>25</v>
      </c>
      <c r="C8" s="29">
        <v>42.0</v>
      </c>
      <c r="D8" s="28" t="s">
        <v>26</v>
      </c>
      <c r="E8" s="29">
        <v>50.0</v>
      </c>
      <c r="F8" s="28" t="s">
        <v>25</v>
      </c>
      <c r="G8" s="29">
        <v>42.0</v>
      </c>
      <c r="H8" s="28" t="s">
        <v>27</v>
      </c>
      <c r="I8" s="29">
        <v>29.0</v>
      </c>
      <c r="J8" s="30" t="s">
        <v>28</v>
      </c>
      <c r="K8" s="31">
        <v>44.0</v>
      </c>
      <c r="L8" s="30" t="s">
        <v>29</v>
      </c>
      <c r="M8" s="31">
        <v>50.0</v>
      </c>
      <c r="N8" s="27" t="s">
        <v>24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27" t="s">
        <v>24</v>
      </c>
      <c r="B9" s="28" t="s">
        <v>30</v>
      </c>
      <c r="C9" s="29">
        <v>12.0</v>
      </c>
      <c r="D9" s="28" t="s">
        <v>31</v>
      </c>
      <c r="E9" s="29">
        <v>36.0</v>
      </c>
      <c r="F9" s="28" t="s">
        <v>32</v>
      </c>
      <c r="G9" s="29">
        <v>3.0</v>
      </c>
      <c r="H9" s="28" t="s">
        <v>33</v>
      </c>
      <c r="I9" s="29">
        <v>28.0</v>
      </c>
      <c r="J9" s="28" t="s">
        <v>34</v>
      </c>
      <c r="K9" s="29">
        <v>30.0</v>
      </c>
      <c r="L9" s="28" t="s">
        <v>35</v>
      </c>
      <c r="M9" s="29">
        <v>32.0</v>
      </c>
      <c r="N9" s="27" t="s">
        <v>24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27" t="s">
        <v>24</v>
      </c>
      <c r="B10" s="28" t="s">
        <v>36</v>
      </c>
      <c r="C10" s="29">
        <v>7.0</v>
      </c>
      <c r="D10" s="28" t="s">
        <v>37</v>
      </c>
      <c r="E10" s="29">
        <v>1.0</v>
      </c>
      <c r="F10" s="28" t="s">
        <v>38</v>
      </c>
      <c r="G10" s="29">
        <v>3.0</v>
      </c>
      <c r="H10" s="32" t="s">
        <v>39</v>
      </c>
      <c r="I10" s="33">
        <v>6.0</v>
      </c>
      <c r="J10" s="28" t="s">
        <v>40</v>
      </c>
      <c r="K10" s="29">
        <v>22.0</v>
      </c>
      <c r="L10" s="28" t="s">
        <v>41</v>
      </c>
      <c r="M10" s="29">
        <v>6.0</v>
      </c>
      <c r="N10" s="27" t="s">
        <v>24</v>
      </c>
      <c r="O10" s="1"/>
      <c r="P10" s="1">
        <v>12.0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27" t="s">
        <v>24</v>
      </c>
      <c r="B11" s="34" t="s">
        <v>42</v>
      </c>
      <c r="C11" s="35">
        <v>28.0</v>
      </c>
      <c r="D11" s="32" t="s">
        <v>43</v>
      </c>
      <c r="E11" s="33">
        <v>14.0</v>
      </c>
      <c r="F11" s="28" t="s">
        <v>44</v>
      </c>
      <c r="G11" s="29">
        <v>2.0</v>
      </c>
      <c r="H11" s="32" t="s">
        <v>45</v>
      </c>
      <c r="I11" s="33">
        <v>4.0</v>
      </c>
      <c r="J11" s="28" t="s">
        <v>46</v>
      </c>
      <c r="K11" s="29">
        <v>5.0</v>
      </c>
      <c r="L11" s="32" t="s">
        <v>47</v>
      </c>
      <c r="M11" s="33">
        <v>9.0</v>
      </c>
      <c r="N11" s="27" t="s">
        <v>24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27" t="s">
        <v>24</v>
      </c>
      <c r="B12" s="28" t="s">
        <v>48</v>
      </c>
      <c r="C12" s="29">
        <v>3.0</v>
      </c>
      <c r="D12" s="32" t="s">
        <v>49</v>
      </c>
      <c r="E12" s="33">
        <v>4.0</v>
      </c>
      <c r="F12" s="32" t="s">
        <v>50</v>
      </c>
      <c r="G12" s="33">
        <v>29.0</v>
      </c>
      <c r="H12" s="28" t="s">
        <v>51</v>
      </c>
      <c r="I12" s="29">
        <v>2.0</v>
      </c>
      <c r="J12" s="28" t="s">
        <v>52</v>
      </c>
      <c r="K12" s="29">
        <v>5.0</v>
      </c>
      <c r="L12" s="32" t="s">
        <v>53</v>
      </c>
      <c r="M12" s="33">
        <v>5.0</v>
      </c>
      <c r="N12" s="27" t="s">
        <v>24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27" t="s">
        <v>24</v>
      </c>
      <c r="B13" s="32" t="s">
        <v>54</v>
      </c>
      <c r="C13" s="33">
        <v>2.0</v>
      </c>
      <c r="D13" s="28"/>
      <c r="E13" s="29"/>
      <c r="F13" s="28" t="s">
        <v>55</v>
      </c>
      <c r="G13" s="29">
        <v>1.0</v>
      </c>
      <c r="H13" s="28" t="s">
        <v>56</v>
      </c>
      <c r="I13" s="29">
        <v>1.0</v>
      </c>
      <c r="J13" s="28" t="s">
        <v>57</v>
      </c>
      <c r="K13" s="29">
        <v>4.0</v>
      </c>
      <c r="L13" s="28"/>
      <c r="M13" s="29"/>
      <c r="N13" s="27" t="s">
        <v>24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27" t="s">
        <v>24</v>
      </c>
      <c r="B14" s="28" t="s">
        <v>58</v>
      </c>
      <c r="C14" s="29">
        <v>1.0</v>
      </c>
      <c r="D14" s="28"/>
      <c r="E14" s="29"/>
      <c r="F14" s="28"/>
      <c r="G14" s="29"/>
      <c r="H14" s="28" t="s">
        <v>59</v>
      </c>
      <c r="I14" s="29">
        <v>1.0</v>
      </c>
      <c r="J14" s="32" t="s">
        <v>60</v>
      </c>
      <c r="K14" s="33">
        <v>12.0</v>
      </c>
      <c r="L14" s="28"/>
      <c r="M14" s="29"/>
      <c r="N14" s="27" t="s">
        <v>24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27" t="s">
        <v>24</v>
      </c>
      <c r="B15" s="28"/>
      <c r="C15" s="29"/>
      <c r="D15" s="28"/>
      <c r="E15" s="29"/>
      <c r="F15" s="28"/>
      <c r="G15" s="29"/>
      <c r="H15" s="28"/>
      <c r="I15" s="29"/>
      <c r="J15" s="32" t="s">
        <v>61</v>
      </c>
      <c r="K15" s="33">
        <v>3.0</v>
      </c>
      <c r="L15" s="28"/>
      <c r="M15" s="29"/>
      <c r="N15" s="27" t="s">
        <v>24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27" t="s">
        <v>24</v>
      </c>
      <c r="B16" s="28"/>
      <c r="C16" s="29"/>
      <c r="D16" s="28"/>
      <c r="E16" s="29"/>
      <c r="F16" s="28"/>
      <c r="G16" s="29"/>
      <c r="H16" s="28"/>
      <c r="I16" s="29"/>
      <c r="J16" s="32" t="s">
        <v>62</v>
      </c>
      <c r="K16" s="33">
        <v>4.0</v>
      </c>
      <c r="L16" s="28"/>
      <c r="M16" s="29"/>
      <c r="N16" s="27" t="s">
        <v>24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36" t="s">
        <v>63</v>
      </c>
      <c r="B17" s="37" t="s">
        <v>64</v>
      </c>
      <c r="C17" s="38">
        <v>28.0</v>
      </c>
      <c r="D17" s="37" t="s">
        <v>65</v>
      </c>
      <c r="E17" s="38">
        <v>45.0</v>
      </c>
      <c r="F17" s="37" t="s">
        <v>66</v>
      </c>
      <c r="G17" s="38">
        <v>37.0</v>
      </c>
      <c r="H17" s="37" t="s">
        <v>67</v>
      </c>
      <c r="I17" s="38">
        <v>24.0</v>
      </c>
      <c r="J17" s="37" t="s">
        <v>68</v>
      </c>
      <c r="K17" s="38">
        <v>27.0</v>
      </c>
      <c r="L17" s="39" t="s">
        <v>69</v>
      </c>
      <c r="M17" s="40">
        <v>31.0</v>
      </c>
      <c r="N17" s="36" t="s">
        <v>63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36" t="s">
        <v>63</v>
      </c>
      <c r="B18" s="37" t="s">
        <v>70</v>
      </c>
      <c r="C18" s="38">
        <v>18.0</v>
      </c>
      <c r="D18" s="41" t="s">
        <v>71</v>
      </c>
      <c r="E18" s="42">
        <v>18.0</v>
      </c>
      <c r="F18" s="37" t="s">
        <v>72</v>
      </c>
      <c r="G18" s="38">
        <v>15.0</v>
      </c>
      <c r="H18" s="37" t="s">
        <v>73</v>
      </c>
      <c r="I18" s="38">
        <v>20.0</v>
      </c>
      <c r="J18" s="37" t="s">
        <v>74</v>
      </c>
      <c r="K18" s="38">
        <v>16.0</v>
      </c>
      <c r="L18" s="37" t="s">
        <v>75</v>
      </c>
      <c r="M18" s="38">
        <v>7.0</v>
      </c>
      <c r="N18" s="36" t="s">
        <v>63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36" t="s">
        <v>63</v>
      </c>
      <c r="B19" s="37" t="s">
        <v>76</v>
      </c>
      <c r="C19" s="38">
        <v>11.0</v>
      </c>
      <c r="D19" s="37" t="s">
        <v>77</v>
      </c>
      <c r="E19" s="38">
        <v>15.0</v>
      </c>
      <c r="F19" s="37" t="s">
        <v>78</v>
      </c>
      <c r="G19" s="38">
        <v>15.0</v>
      </c>
      <c r="H19" s="41" t="s">
        <v>79</v>
      </c>
      <c r="I19" s="42">
        <v>12.0</v>
      </c>
      <c r="J19" s="37" t="s">
        <v>80</v>
      </c>
      <c r="K19" s="38">
        <v>14.0</v>
      </c>
      <c r="L19" s="37" t="s">
        <v>81</v>
      </c>
      <c r="M19" s="38">
        <v>6.0</v>
      </c>
      <c r="N19" s="36" t="s">
        <v>63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36" t="s">
        <v>63</v>
      </c>
      <c r="B20" s="41" t="s">
        <v>82</v>
      </c>
      <c r="C20" s="42">
        <v>20.0</v>
      </c>
      <c r="D20" s="37" t="s">
        <v>83</v>
      </c>
      <c r="E20" s="38">
        <v>7.0</v>
      </c>
      <c r="F20" s="37" t="s">
        <v>84</v>
      </c>
      <c r="G20" s="38">
        <v>3.0</v>
      </c>
      <c r="H20" s="41" t="s">
        <v>85</v>
      </c>
      <c r="I20" s="42">
        <v>8.0</v>
      </c>
      <c r="J20" s="41" t="s">
        <v>86</v>
      </c>
      <c r="K20" s="42">
        <v>7.0</v>
      </c>
      <c r="L20" s="41" t="s">
        <v>87</v>
      </c>
      <c r="M20" s="42">
        <v>5.0</v>
      </c>
      <c r="N20" s="36" t="s">
        <v>63</v>
      </c>
      <c r="O20" s="1"/>
      <c r="P20" s="1">
        <v>10.0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36" t="s">
        <v>63</v>
      </c>
      <c r="B21" s="37" t="s">
        <v>88</v>
      </c>
      <c r="C21" s="38">
        <v>8.0</v>
      </c>
      <c r="D21" s="41" t="s">
        <v>89</v>
      </c>
      <c r="E21" s="42">
        <v>6.0</v>
      </c>
      <c r="F21" s="37" t="s">
        <v>90</v>
      </c>
      <c r="G21" s="38">
        <v>2.0</v>
      </c>
      <c r="H21" s="37" t="s">
        <v>91</v>
      </c>
      <c r="I21" s="38">
        <v>3.0</v>
      </c>
      <c r="J21" s="37" t="s">
        <v>92</v>
      </c>
      <c r="K21" s="38">
        <v>3.0</v>
      </c>
      <c r="L21" s="37" t="s">
        <v>93</v>
      </c>
      <c r="M21" s="38">
        <v>3.0</v>
      </c>
      <c r="N21" s="36" t="s">
        <v>63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36" t="s">
        <v>63</v>
      </c>
      <c r="B22" s="37" t="s">
        <v>94</v>
      </c>
      <c r="C22" s="38">
        <v>6.0</v>
      </c>
      <c r="D22" s="37" t="s">
        <v>95</v>
      </c>
      <c r="E22" s="38">
        <v>3.0</v>
      </c>
      <c r="F22" s="37" t="s">
        <v>96</v>
      </c>
      <c r="G22" s="38">
        <v>3.0</v>
      </c>
      <c r="H22" s="37" t="s">
        <v>97</v>
      </c>
      <c r="I22" s="38">
        <v>1.0</v>
      </c>
      <c r="J22" s="37" t="s">
        <v>98</v>
      </c>
      <c r="K22" s="38">
        <v>1.0</v>
      </c>
      <c r="L22" s="37" t="s">
        <v>99</v>
      </c>
      <c r="M22" s="38">
        <v>1.0</v>
      </c>
      <c r="N22" s="36" t="s">
        <v>63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36" t="s">
        <v>63</v>
      </c>
      <c r="B23" s="41" t="s">
        <v>100</v>
      </c>
      <c r="C23" s="42">
        <v>6.0</v>
      </c>
      <c r="D23" s="37" t="s">
        <v>101</v>
      </c>
      <c r="E23" s="38">
        <v>1.0</v>
      </c>
      <c r="F23" s="41" t="s">
        <v>102</v>
      </c>
      <c r="G23" s="42">
        <v>7.0</v>
      </c>
      <c r="H23" s="37" t="s">
        <v>103</v>
      </c>
      <c r="I23" s="38">
        <v>1.0</v>
      </c>
      <c r="J23" s="37" t="s">
        <v>14</v>
      </c>
      <c r="K23" s="38">
        <v>1.0</v>
      </c>
      <c r="L23" s="39"/>
      <c r="M23" s="40"/>
      <c r="N23" s="36" t="s">
        <v>63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36" t="s">
        <v>63</v>
      </c>
      <c r="B24" s="37"/>
      <c r="C24" s="38"/>
      <c r="D24" s="37" t="s">
        <v>104</v>
      </c>
      <c r="E24" s="38">
        <v>1.0</v>
      </c>
      <c r="F24" s="41" t="s">
        <v>105</v>
      </c>
      <c r="G24" s="42">
        <v>9.0</v>
      </c>
      <c r="H24" s="37"/>
      <c r="I24" s="38"/>
      <c r="J24" s="37" t="s">
        <v>106</v>
      </c>
      <c r="K24" s="38">
        <v>1.0</v>
      </c>
      <c r="L24" s="37"/>
      <c r="M24" s="38"/>
      <c r="N24" s="36" t="s">
        <v>63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36" t="s">
        <v>63</v>
      </c>
      <c r="B25" s="37" t="s">
        <v>107</v>
      </c>
      <c r="C25" s="38">
        <v>2.0</v>
      </c>
      <c r="D25" s="37"/>
      <c r="E25" s="38"/>
      <c r="F25" s="37"/>
      <c r="G25" s="38"/>
      <c r="H25" s="37"/>
      <c r="I25" s="38"/>
      <c r="J25" s="41" t="s">
        <v>108</v>
      </c>
      <c r="K25" s="42">
        <v>2.0</v>
      </c>
      <c r="L25" s="37"/>
      <c r="M25" s="38"/>
      <c r="N25" s="36" t="s">
        <v>63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36" t="s">
        <v>63</v>
      </c>
      <c r="B26" s="41" t="s">
        <v>109</v>
      </c>
      <c r="C26" s="42">
        <v>1.0</v>
      </c>
      <c r="D26" s="37"/>
      <c r="E26" s="38"/>
      <c r="F26" s="37"/>
      <c r="G26" s="38"/>
      <c r="H26" s="37"/>
      <c r="I26" s="38"/>
      <c r="J26" s="41" t="s">
        <v>110</v>
      </c>
      <c r="K26" s="42">
        <v>4.0</v>
      </c>
      <c r="L26" s="37"/>
      <c r="M26" s="38"/>
      <c r="N26" s="36" t="s">
        <v>63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3" t="s">
        <v>111</v>
      </c>
      <c r="B27" s="44" t="s">
        <v>112</v>
      </c>
      <c r="C27" s="45">
        <v>2.0</v>
      </c>
      <c r="D27" s="44" t="s">
        <v>113</v>
      </c>
      <c r="E27" s="45">
        <v>21.0</v>
      </c>
      <c r="F27" s="44" t="s">
        <v>114</v>
      </c>
      <c r="G27" s="45">
        <v>20.0</v>
      </c>
      <c r="H27" s="44" t="s">
        <v>115</v>
      </c>
      <c r="I27" s="45">
        <v>24.0</v>
      </c>
      <c r="J27" s="44" t="s">
        <v>116</v>
      </c>
      <c r="K27" s="45">
        <v>7.0</v>
      </c>
      <c r="L27" s="44" t="s">
        <v>117</v>
      </c>
      <c r="M27" s="45">
        <v>22.0</v>
      </c>
      <c r="N27" s="43" t="s">
        <v>111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3" t="s">
        <v>111</v>
      </c>
      <c r="B28" s="46" t="s">
        <v>118</v>
      </c>
      <c r="C28" s="47">
        <v>5.0</v>
      </c>
      <c r="D28" s="46" t="s">
        <v>119</v>
      </c>
      <c r="E28" s="47">
        <v>2.0</v>
      </c>
      <c r="F28" s="44"/>
      <c r="G28" s="45"/>
      <c r="H28" s="46" t="s">
        <v>120</v>
      </c>
      <c r="I28" s="47">
        <v>5.0</v>
      </c>
      <c r="J28" s="46" t="s">
        <v>121</v>
      </c>
      <c r="K28" s="47">
        <v>6.0</v>
      </c>
      <c r="L28" s="46" t="s">
        <v>122</v>
      </c>
      <c r="M28" s="47">
        <v>1.0</v>
      </c>
      <c r="N28" s="43" t="s">
        <v>111</v>
      </c>
      <c r="O28" s="1"/>
      <c r="P28" s="1">
        <v>5.0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3" t="s">
        <v>111</v>
      </c>
      <c r="B29" s="44"/>
      <c r="C29" s="45"/>
      <c r="D29" s="44"/>
      <c r="E29" s="45"/>
      <c r="F29" s="44"/>
      <c r="G29" s="45"/>
      <c r="H29" s="44" t="s">
        <v>123</v>
      </c>
      <c r="I29" s="45">
        <v>2.0</v>
      </c>
      <c r="J29" s="48"/>
      <c r="K29" s="48"/>
      <c r="L29" s="44"/>
      <c r="M29" s="45"/>
      <c r="N29" s="43" t="s">
        <v>111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9" t="s">
        <v>124</v>
      </c>
      <c r="B30" s="50"/>
      <c r="C30" s="51"/>
      <c r="D30" s="50" t="s">
        <v>125</v>
      </c>
      <c r="E30" s="51">
        <v>1.0</v>
      </c>
      <c r="F30" s="50"/>
      <c r="G30" s="51"/>
      <c r="H30" s="50" t="s">
        <v>126</v>
      </c>
      <c r="I30" s="51">
        <v>1.0</v>
      </c>
      <c r="J30" s="52" t="s">
        <v>127</v>
      </c>
      <c r="K30" s="53">
        <v>4.0</v>
      </c>
      <c r="L30" s="52" t="s">
        <v>128</v>
      </c>
      <c r="M30" s="53">
        <v>5.0</v>
      </c>
      <c r="N30" s="49" t="s">
        <v>124</v>
      </c>
      <c r="O30" s="1"/>
      <c r="P30" s="1">
        <v>2.0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9" t="s">
        <v>124</v>
      </c>
      <c r="B31" s="50"/>
      <c r="C31" s="51"/>
      <c r="D31" s="50" t="s">
        <v>129</v>
      </c>
      <c r="E31" s="51"/>
      <c r="F31" s="50" t="s">
        <v>130</v>
      </c>
      <c r="G31" s="51">
        <v>1.0</v>
      </c>
      <c r="H31" s="50" t="s">
        <v>131</v>
      </c>
      <c r="I31" s="51">
        <v>1.0</v>
      </c>
      <c r="J31" s="50" t="s">
        <v>132</v>
      </c>
      <c r="K31" s="51">
        <v>1.0</v>
      </c>
      <c r="L31" s="50"/>
      <c r="M31" s="51"/>
      <c r="N31" s="49" t="s">
        <v>124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54" t="s">
        <v>133</v>
      </c>
      <c r="B32" s="55" t="s">
        <v>134</v>
      </c>
      <c r="C32" s="56">
        <v>1.0</v>
      </c>
      <c r="D32" s="55"/>
      <c r="E32" s="56"/>
      <c r="F32" s="55" t="s">
        <v>135</v>
      </c>
      <c r="G32" s="56">
        <v>2.0</v>
      </c>
      <c r="H32" s="55" t="s">
        <v>136</v>
      </c>
      <c r="I32" s="56">
        <v>1.0</v>
      </c>
      <c r="J32" s="55" t="s">
        <v>137</v>
      </c>
      <c r="K32" s="56">
        <v>2.0</v>
      </c>
      <c r="L32" s="55" t="s">
        <v>138</v>
      </c>
      <c r="M32" s="56">
        <v>1.0</v>
      </c>
      <c r="N32" s="54" t="s">
        <v>133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54" t="s">
        <v>133</v>
      </c>
      <c r="B33" s="55"/>
      <c r="C33" s="56"/>
      <c r="D33" s="55"/>
      <c r="E33" s="56"/>
      <c r="F33" s="55" t="s">
        <v>139</v>
      </c>
      <c r="G33" s="56">
        <v>2.0</v>
      </c>
      <c r="H33" s="55" t="s">
        <v>140</v>
      </c>
      <c r="I33" s="56">
        <v>1.0</v>
      </c>
      <c r="J33" s="55"/>
      <c r="K33" s="56"/>
      <c r="L33" s="55"/>
      <c r="M33" s="56"/>
      <c r="N33" s="54" t="s">
        <v>133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57" t="s">
        <v>141</v>
      </c>
      <c r="B34" s="58" t="s">
        <v>142</v>
      </c>
      <c r="C34" s="59">
        <v>1.0</v>
      </c>
      <c r="D34" s="58" t="s">
        <v>143</v>
      </c>
      <c r="E34" s="59">
        <v>2.0</v>
      </c>
      <c r="F34" s="60" t="s">
        <v>144</v>
      </c>
      <c r="G34" s="61">
        <v>1.0</v>
      </c>
      <c r="H34" s="58" t="s">
        <v>100</v>
      </c>
      <c r="I34" s="59">
        <v>15.0</v>
      </c>
      <c r="J34" s="58" t="s">
        <v>145</v>
      </c>
      <c r="K34" s="59">
        <v>1.0</v>
      </c>
      <c r="L34" s="58" t="s">
        <v>146</v>
      </c>
      <c r="M34" s="59">
        <v>1.0</v>
      </c>
      <c r="N34" s="57" t="s">
        <v>141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57" t="s">
        <v>141</v>
      </c>
      <c r="B35" s="58" t="s">
        <v>147</v>
      </c>
      <c r="C35" s="59">
        <v>5.0</v>
      </c>
      <c r="D35" s="62" t="s">
        <v>148</v>
      </c>
      <c r="E35" s="63">
        <v>1.0</v>
      </c>
      <c r="F35" s="64" t="s">
        <v>149</v>
      </c>
      <c r="G35" s="65">
        <v>1.0</v>
      </c>
      <c r="H35" s="62"/>
      <c r="I35" s="63"/>
      <c r="J35" s="58" t="s">
        <v>150</v>
      </c>
      <c r="K35" s="59">
        <v>1.0</v>
      </c>
      <c r="L35" s="62" t="s">
        <v>151</v>
      </c>
      <c r="M35" s="63">
        <v>1.0</v>
      </c>
      <c r="N35" s="57" t="s">
        <v>141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7" t="s">
        <v>141</v>
      </c>
      <c r="B36" s="58" t="s">
        <v>152</v>
      </c>
      <c r="C36" s="59">
        <v>2.0</v>
      </c>
      <c r="D36" s="62" t="s">
        <v>153</v>
      </c>
      <c r="E36" s="63">
        <v>1.0</v>
      </c>
      <c r="F36" s="58" t="s">
        <v>154</v>
      </c>
      <c r="G36" s="65">
        <v>1.0</v>
      </c>
      <c r="H36" s="62"/>
      <c r="I36" s="63"/>
      <c r="J36" s="58" t="s">
        <v>155</v>
      </c>
      <c r="K36" s="59">
        <v>1.0</v>
      </c>
      <c r="L36" s="62" t="s">
        <v>156</v>
      </c>
      <c r="M36" s="63">
        <v>1.0</v>
      </c>
      <c r="N36" s="57" t="s">
        <v>141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57" t="s">
        <v>141</v>
      </c>
      <c r="B37" s="58" t="s">
        <v>157</v>
      </c>
      <c r="C37" s="59">
        <v>1.0</v>
      </c>
      <c r="D37" s="62" t="s">
        <v>158</v>
      </c>
      <c r="E37" s="63">
        <v>1.0</v>
      </c>
      <c r="F37" s="58" t="s">
        <v>159</v>
      </c>
      <c r="G37" s="65">
        <v>2.0</v>
      </c>
      <c r="H37" s="62"/>
      <c r="I37" s="63"/>
      <c r="J37" s="58" t="s">
        <v>160</v>
      </c>
      <c r="K37" s="59">
        <v>1.0</v>
      </c>
      <c r="L37" s="62" t="s">
        <v>161</v>
      </c>
      <c r="M37" s="63">
        <v>1.0</v>
      </c>
      <c r="N37" s="57" t="s">
        <v>141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57" t="s">
        <v>141</v>
      </c>
      <c r="B38" s="58" t="s">
        <v>162</v>
      </c>
      <c r="C38" s="59">
        <v>1.0</v>
      </c>
      <c r="D38" s="62" t="s">
        <v>163</v>
      </c>
      <c r="E38" s="63">
        <v>1.0</v>
      </c>
      <c r="F38" s="58" t="s">
        <v>164</v>
      </c>
      <c r="G38" s="65">
        <v>1.0</v>
      </c>
      <c r="H38" s="62"/>
      <c r="I38" s="63"/>
      <c r="J38" s="58" t="s">
        <v>165</v>
      </c>
      <c r="K38" s="59">
        <v>1.0</v>
      </c>
      <c r="L38" s="62" t="s">
        <v>166</v>
      </c>
      <c r="M38" s="63">
        <v>1.0</v>
      </c>
      <c r="N38" s="57" t="s">
        <v>141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66" t="s">
        <v>141</v>
      </c>
      <c r="B39" s="58" t="s">
        <v>167</v>
      </c>
      <c r="C39" s="59">
        <v>1.0</v>
      </c>
      <c r="D39" s="62" t="s">
        <v>168</v>
      </c>
      <c r="E39" s="63">
        <v>1.0</v>
      </c>
      <c r="F39" s="58" t="s">
        <v>169</v>
      </c>
      <c r="G39" s="65">
        <v>16.0</v>
      </c>
      <c r="H39" s="62"/>
      <c r="I39" s="63"/>
      <c r="J39" s="62"/>
      <c r="K39" s="63"/>
      <c r="L39" s="62" t="s">
        <v>54</v>
      </c>
      <c r="M39" s="63">
        <v>1.0</v>
      </c>
      <c r="N39" s="66" t="s">
        <v>141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66" t="s">
        <v>141</v>
      </c>
      <c r="B40" s="67"/>
      <c r="C40" s="68"/>
      <c r="D40" s="62" t="s">
        <v>170</v>
      </c>
      <c r="E40" s="63">
        <v>1.0</v>
      </c>
      <c r="F40" s="58" t="s">
        <v>171</v>
      </c>
      <c r="G40" s="65">
        <v>5.0</v>
      </c>
      <c r="H40" s="62"/>
      <c r="I40" s="63"/>
      <c r="J40" s="62"/>
      <c r="K40" s="63"/>
      <c r="L40" s="62" t="s">
        <v>172</v>
      </c>
      <c r="M40" s="63">
        <v>1.0</v>
      </c>
      <c r="N40" s="66" t="s">
        <v>141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66" t="s">
        <v>141</v>
      </c>
      <c r="B41" s="67"/>
      <c r="C41" s="68"/>
      <c r="D41" s="62" t="s">
        <v>173</v>
      </c>
      <c r="E41" s="63">
        <v>1.0</v>
      </c>
      <c r="F41" s="58" t="s">
        <v>174</v>
      </c>
      <c r="G41" s="59">
        <v>2.0</v>
      </c>
      <c r="H41" s="62"/>
      <c r="I41" s="63"/>
      <c r="J41" s="62"/>
      <c r="K41" s="63"/>
      <c r="L41" s="62" t="s">
        <v>175</v>
      </c>
      <c r="M41" s="63">
        <v>1.0</v>
      </c>
      <c r="N41" s="66" t="s">
        <v>141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69" t="s">
        <v>176</v>
      </c>
      <c r="C42" s="70">
        <f>SUM(C4:C41)</f>
        <v>242</v>
      </c>
      <c r="D42" s="69" t="s">
        <v>176</v>
      </c>
      <c r="E42" s="70">
        <f>SUM(E4:E41)</f>
        <v>240</v>
      </c>
      <c r="F42" s="69" t="s">
        <v>176</v>
      </c>
      <c r="G42" s="70">
        <f>SUM(G4:G41)</f>
        <v>252</v>
      </c>
      <c r="H42" s="69" t="s">
        <v>176</v>
      </c>
      <c r="I42" s="70">
        <f>SUM(I4:I41)</f>
        <v>201</v>
      </c>
      <c r="J42" s="69" t="s">
        <v>176</v>
      </c>
      <c r="K42" s="70">
        <f>SUM(K4:K41)</f>
        <v>238</v>
      </c>
      <c r="L42" s="69" t="s">
        <v>176</v>
      </c>
      <c r="M42" s="70">
        <f>SUM(M4:M41)</f>
        <v>211</v>
      </c>
      <c r="N42" s="70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69" t="s">
        <v>177</v>
      </c>
      <c r="C43" s="70">
        <v>0.0</v>
      </c>
      <c r="D43" s="69" t="s">
        <v>177</v>
      </c>
      <c r="E43" s="70">
        <v>0.0</v>
      </c>
      <c r="F43" s="69" t="s">
        <v>177</v>
      </c>
      <c r="G43" s="70">
        <v>0.0</v>
      </c>
      <c r="H43" s="69" t="s">
        <v>177</v>
      </c>
      <c r="I43" s="70">
        <v>0.0</v>
      </c>
      <c r="J43" s="69" t="s">
        <v>177</v>
      </c>
      <c r="K43" s="70">
        <v>0.0</v>
      </c>
      <c r="L43" s="69" t="s">
        <v>177</v>
      </c>
      <c r="M43" s="70">
        <v>0.0</v>
      </c>
      <c r="N43" s="70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69" t="s">
        <v>178</v>
      </c>
      <c r="C44" s="70">
        <f>SUM(C42+C43)</f>
        <v>242</v>
      </c>
      <c r="D44" s="69" t="s">
        <v>178</v>
      </c>
      <c r="E44" s="70">
        <f>SUM(E42+E43)</f>
        <v>240</v>
      </c>
      <c r="F44" s="69" t="s">
        <v>178</v>
      </c>
      <c r="G44" s="70">
        <f>SUM(G42+G43)</f>
        <v>252</v>
      </c>
      <c r="H44" s="69" t="s">
        <v>178</v>
      </c>
      <c r="I44" s="70">
        <f>SUM(I42+I43)</f>
        <v>201</v>
      </c>
      <c r="J44" s="69" t="s">
        <v>178</v>
      </c>
      <c r="K44" s="70">
        <f>SUM(K42+K43)</f>
        <v>238</v>
      </c>
      <c r="L44" s="69" t="s">
        <v>178</v>
      </c>
      <c r="M44" s="70">
        <f>SUM(M42+M43)</f>
        <v>211</v>
      </c>
      <c r="N44" s="7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71" t="s">
        <v>179</v>
      </c>
      <c r="C45" s="72">
        <f>SUM(250-C44)</f>
        <v>8</v>
      </c>
      <c r="D45" s="71" t="s">
        <v>179</v>
      </c>
      <c r="E45" s="72">
        <f>SUM(250-E44)</f>
        <v>10</v>
      </c>
      <c r="F45" s="71" t="s">
        <v>179</v>
      </c>
      <c r="G45" s="72">
        <f>SUM(250-G44)</f>
        <v>-2</v>
      </c>
      <c r="H45" s="71" t="s">
        <v>179</v>
      </c>
      <c r="I45" s="72">
        <f>SUM(250-I44)</f>
        <v>49</v>
      </c>
      <c r="J45" s="71" t="s">
        <v>179</v>
      </c>
      <c r="K45" s="72">
        <f>SUM(250-K44)</f>
        <v>12</v>
      </c>
      <c r="L45" s="71" t="s">
        <v>179</v>
      </c>
      <c r="M45" s="72">
        <f>SUM(250-M44)</f>
        <v>39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71"/>
      <c r="C46" s="72"/>
      <c r="D46" s="71"/>
      <c r="E46" s="72"/>
      <c r="F46" s="71"/>
      <c r="G46" s="72"/>
      <c r="H46" s="71"/>
      <c r="I46" s="72"/>
      <c r="J46" s="71"/>
      <c r="K46" s="72"/>
      <c r="L46" s="71"/>
      <c r="M46" s="7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2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5"/>
      <c r="B49" s="73" t="s">
        <v>180</v>
      </c>
      <c r="C49" s="4"/>
      <c r="D49" s="4" t="s">
        <v>181</v>
      </c>
      <c r="E49" s="4"/>
      <c r="F49" s="4" t="s">
        <v>182</v>
      </c>
      <c r="G49" s="4"/>
      <c r="H49" s="4" t="s">
        <v>183</v>
      </c>
      <c r="I49" s="4"/>
      <c r="J49" s="4"/>
      <c r="K49" s="4"/>
      <c r="L49" s="4" t="s">
        <v>184</v>
      </c>
      <c r="M49" s="4"/>
      <c r="N49" s="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6" t="s">
        <v>6</v>
      </c>
      <c r="B50" s="7" t="s">
        <v>7</v>
      </c>
      <c r="C50" s="6" t="s">
        <v>8</v>
      </c>
      <c r="D50" s="7" t="s">
        <v>7</v>
      </c>
      <c r="E50" s="6" t="s">
        <v>8</v>
      </c>
      <c r="F50" s="7" t="s">
        <v>7</v>
      </c>
      <c r="G50" s="6" t="s">
        <v>8</v>
      </c>
      <c r="H50" s="7" t="s">
        <v>7</v>
      </c>
      <c r="I50" s="6" t="s">
        <v>8</v>
      </c>
      <c r="J50" s="7" t="s">
        <v>7</v>
      </c>
      <c r="K50" s="6" t="s">
        <v>8</v>
      </c>
      <c r="L50" s="7" t="s">
        <v>7</v>
      </c>
      <c r="M50" s="6" t="s">
        <v>8</v>
      </c>
      <c r="N50" s="6" t="s">
        <v>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8" t="s">
        <v>9</v>
      </c>
      <c r="B51" s="9" t="s">
        <v>185</v>
      </c>
      <c r="C51" s="10">
        <v>11.0</v>
      </c>
      <c r="D51" s="9" t="s">
        <v>186</v>
      </c>
      <c r="E51" s="10">
        <v>5.0</v>
      </c>
      <c r="F51" s="9" t="s">
        <v>187</v>
      </c>
      <c r="G51" s="10">
        <v>14.0</v>
      </c>
      <c r="H51" s="9" t="s">
        <v>188</v>
      </c>
      <c r="I51" s="10">
        <v>23.0</v>
      </c>
      <c r="J51" s="74"/>
      <c r="K51" s="75"/>
      <c r="L51" s="9"/>
      <c r="M51" s="10"/>
      <c r="N51" s="8" t="s">
        <v>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8" t="s">
        <v>9</v>
      </c>
      <c r="B52" s="9" t="s">
        <v>189</v>
      </c>
      <c r="C52" s="10">
        <v>1.0</v>
      </c>
      <c r="D52" s="9" t="s">
        <v>190</v>
      </c>
      <c r="E52" s="10">
        <v>4.0</v>
      </c>
      <c r="F52" s="9" t="s">
        <v>191</v>
      </c>
      <c r="G52" s="10">
        <v>4.0</v>
      </c>
      <c r="H52" s="9"/>
      <c r="I52" s="10"/>
      <c r="J52" s="9"/>
      <c r="K52" s="10"/>
      <c r="L52" s="9"/>
      <c r="M52" s="10"/>
      <c r="N52" s="8" t="s">
        <v>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8" t="s">
        <v>9</v>
      </c>
      <c r="B53" s="9"/>
      <c r="C53" s="10"/>
      <c r="D53" s="9" t="s">
        <v>129</v>
      </c>
      <c r="E53" s="10" t="s">
        <v>129</v>
      </c>
      <c r="F53" s="9" t="s">
        <v>192</v>
      </c>
      <c r="G53" s="10">
        <v>2.0</v>
      </c>
      <c r="H53" s="9"/>
      <c r="I53" s="10"/>
      <c r="J53" s="9"/>
      <c r="K53" s="10"/>
      <c r="L53" s="9"/>
      <c r="M53" s="10"/>
      <c r="N53" s="8" t="s">
        <v>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8" t="s">
        <v>9</v>
      </c>
      <c r="B54" s="9"/>
      <c r="C54" s="10"/>
      <c r="D54" s="9"/>
      <c r="E54" s="10"/>
      <c r="F54" s="9"/>
      <c r="G54" s="10"/>
      <c r="H54" s="9"/>
      <c r="I54" s="10"/>
      <c r="J54" s="9"/>
      <c r="K54" s="10"/>
      <c r="L54" s="9"/>
      <c r="M54" s="10"/>
      <c r="N54" s="8" t="s">
        <v>9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27" t="s">
        <v>24</v>
      </c>
      <c r="B55" s="28" t="s">
        <v>193</v>
      </c>
      <c r="C55" s="29">
        <v>49.0</v>
      </c>
      <c r="D55" s="28" t="s">
        <v>194</v>
      </c>
      <c r="E55" s="29">
        <v>29.0</v>
      </c>
      <c r="F55" s="28" t="s">
        <v>195</v>
      </c>
      <c r="G55" s="29">
        <v>45.0</v>
      </c>
      <c r="H55" s="28" t="s">
        <v>196</v>
      </c>
      <c r="I55" s="29">
        <v>53.0</v>
      </c>
      <c r="J55" s="28"/>
      <c r="K55" s="29"/>
      <c r="L55" s="28"/>
      <c r="M55" s="29"/>
      <c r="N55" s="27" t="s">
        <v>24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27" t="s">
        <v>24</v>
      </c>
      <c r="B56" s="28" t="s">
        <v>197</v>
      </c>
      <c r="C56" s="29">
        <v>22.0</v>
      </c>
      <c r="D56" s="28" t="s">
        <v>198</v>
      </c>
      <c r="E56" s="29">
        <v>20.0</v>
      </c>
      <c r="F56" s="28" t="s">
        <v>199</v>
      </c>
      <c r="G56" s="29">
        <v>41.0</v>
      </c>
      <c r="H56" s="28" t="s">
        <v>200</v>
      </c>
      <c r="I56" s="29">
        <v>33.0</v>
      </c>
      <c r="J56" s="28"/>
      <c r="K56" s="29"/>
      <c r="L56" s="28"/>
      <c r="M56" s="29"/>
      <c r="N56" s="27" t="s">
        <v>24</v>
      </c>
      <c r="O56" s="1"/>
      <c r="P56" s="1">
        <v>7.0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27" t="s">
        <v>24</v>
      </c>
      <c r="B57" s="28" t="s">
        <v>201</v>
      </c>
      <c r="C57" s="29">
        <v>16.0</v>
      </c>
      <c r="D57" s="28" t="s">
        <v>202</v>
      </c>
      <c r="E57" s="29">
        <v>9.0</v>
      </c>
      <c r="F57" s="28" t="s">
        <v>164</v>
      </c>
      <c r="G57" s="29">
        <v>11.0</v>
      </c>
      <c r="H57" s="32" t="s">
        <v>203</v>
      </c>
      <c r="I57" s="33">
        <v>8.0</v>
      </c>
      <c r="J57" s="28"/>
      <c r="K57" s="29"/>
      <c r="L57" s="28"/>
      <c r="M57" s="29"/>
      <c r="N57" s="27" t="s">
        <v>24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27" t="s">
        <v>24</v>
      </c>
      <c r="B58" s="76" t="s">
        <v>204</v>
      </c>
      <c r="C58" s="76">
        <v>4.0</v>
      </c>
      <c r="D58" s="28" t="s">
        <v>205</v>
      </c>
      <c r="E58" s="29">
        <v>1.0</v>
      </c>
      <c r="F58" s="28" t="s">
        <v>206</v>
      </c>
      <c r="G58" s="29">
        <v>2.0</v>
      </c>
      <c r="H58" s="32" t="s">
        <v>207</v>
      </c>
      <c r="I58" s="33">
        <v>2.0</v>
      </c>
      <c r="J58" s="28" t="s">
        <v>129</v>
      </c>
      <c r="K58" s="29" t="s">
        <v>129</v>
      </c>
      <c r="L58" s="28"/>
      <c r="M58" s="29"/>
      <c r="N58" s="27" t="s">
        <v>24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27" t="s">
        <v>24</v>
      </c>
      <c r="B59" s="28" t="s">
        <v>208</v>
      </c>
      <c r="C59" s="29">
        <v>3.0</v>
      </c>
      <c r="D59" s="28" t="s">
        <v>209</v>
      </c>
      <c r="E59" s="29">
        <v>1.0</v>
      </c>
      <c r="F59" s="32" t="s">
        <v>210</v>
      </c>
      <c r="G59" s="33">
        <v>2.0</v>
      </c>
      <c r="H59" s="28"/>
      <c r="I59" s="29"/>
      <c r="J59" s="28"/>
      <c r="K59" s="29"/>
      <c r="L59" s="28"/>
      <c r="M59" s="29"/>
      <c r="N59" s="27" t="s">
        <v>24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27" t="s">
        <v>24</v>
      </c>
      <c r="B60" s="28" t="s">
        <v>211</v>
      </c>
      <c r="C60" s="29">
        <v>1.0</v>
      </c>
      <c r="D60" s="28" t="s">
        <v>212</v>
      </c>
      <c r="E60" s="29">
        <v>1.0</v>
      </c>
      <c r="F60" s="32" t="s">
        <v>213</v>
      </c>
      <c r="G60" s="33">
        <v>1.0</v>
      </c>
      <c r="H60" s="28" t="s">
        <v>214</v>
      </c>
      <c r="I60" s="29">
        <v>1.0</v>
      </c>
      <c r="J60" s="28"/>
      <c r="K60" s="29"/>
      <c r="L60" s="28"/>
      <c r="M60" s="29"/>
      <c r="N60" s="27" t="s">
        <v>24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27" t="s">
        <v>24</v>
      </c>
      <c r="B61" s="28" t="s">
        <v>215</v>
      </c>
      <c r="C61" s="29">
        <v>1.0</v>
      </c>
      <c r="D61" s="32" t="s">
        <v>216</v>
      </c>
      <c r="E61" s="33">
        <v>12.0</v>
      </c>
      <c r="F61" s="28"/>
      <c r="G61" s="29"/>
      <c r="H61" s="28"/>
      <c r="I61" s="29"/>
      <c r="J61" s="28"/>
      <c r="K61" s="29"/>
      <c r="L61" s="28"/>
      <c r="M61" s="29"/>
      <c r="N61" s="27" t="s">
        <v>24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27" t="s">
        <v>24</v>
      </c>
      <c r="B62" s="28"/>
      <c r="C62" s="29"/>
      <c r="D62" s="32" t="s">
        <v>217</v>
      </c>
      <c r="E62" s="33">
        <v>11.0</v>
      </c>
      <c r="F62" s="28"/>
      <c r="G62" s="29"/>
      <c r="H62" s="28"/>
      <c r="I62" s="29"/>
      <c r="J62" s="28"/>
      <c r="K62" s="29"/>
      <c r="L62" s="28"/>
      <c r="M62" s="29"/>
      <c r="N62" s="27" t="s">
        <v>24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36" t="s">
        <v>63</v>
      </c>
      <c r="B63" s="39" t="s">
        <v>218</v>
      </c>
      <c r="C63" s="40">
        <v>30.0</v>
      </c>
      <c r="D63" s="37" t="s">
        <v>219</v>
      </c>
      <c r="E63" s="38">
        <v>43.0</v>
      </c>
      <c r="F63" s="37" t="s">
        <v>220</v>
      </c>
      <c r="G63" s="38">
        <v>16.0</v>
      </c>
      <c r="H63" s="37" t="s">
        <v>221</v>
      </c>
      <c r="I63" s="38">
        <v>19.0</v>
      </c>
      <c r="J63" s="37"/>
      <c r="K63" s="38"/>
      <c r="L63" s="37"/>
      <c r="M63" s="38"/>
      <c r="N63" s="36" t="s">
        <v>63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36" t="s">
        <v>63</v>
      </c>
      <c r="B64" s="37" t="s">
        <v>222</v>
      </c>
      <c r="C64" s="38">
        <v>22.0</v>
      </c>
      <c r="D64" s="37" t="s">
        <v>223</v>
      </c>
      <c r="E64" s="38">
        <v>40.0</v>
      </c>
      <c r="F64" s="37" t="s">
        <v>224</v>
      </c>
      <c r="G64" s="38">
        <v>11.0</v>
      </c>
      <c r="H64" s="37" t="s">
        <v>225</v>
      </c>
      <c r="I64" s="38">
        <v>17.0</v>
      </c>
      <c r="J64" s="37"/>
      <c r="K64" s="38"/>
      <c r="L64" s="37"/>
      <c r="M64" s="38"/>
      <c r="N64" s="36" t="s">
        <v>63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36" t="s">
        <v>63</v>
      </c>
      <c r="B65" s="37" t="s">
        <v>226</v>
      </c>
      <c r="C65" s="38">
        <v>14.0</v>
      </c>
      <c r="D65" s="37" t="s">
        <v>227</v>
      </c>
      <c r="E65" s="38">
        <v>15.0</v>
      </c>
      <c r="F65" s="32" t="s">
        <v>228</v>
      </c>
      <c r="G65" s="33">
        <v>14.0</v>
      </c>
      <c r="H65" s="37" t="s">
        <v>229</v>
      </c>
      <c r="I65" s="38">
        <v>13.0</v>
      </c>
      <c r="J65" s="37"/>
      <c r="K65" s="38"/>
      <c r="L65" s="37"/>
      <c r="M65" s="38"/>
      <c r="N65" s="36" t="s">
        <v>63</v>
      </c>
      <c r="O65" s="1"/>
      <c r="P65" s="1">
        <v>7.0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36" t="s">
        <v>63</v>
      </c>
      <c r="B66" s="37"/>
      <c r="C66" s="38"/>
      <c r="D66" s="37" t="s">
        <v>230</v>
      </c>
      <c r="E66" s="38">
        <v>14.0</v>
      </c>
      <c r="F66" s="37" t="s">
        <v>231</v>
      </c>
      <c r="G66" s="38">
        <v>6.0</v>
      </c>
      <c r="H66" s="37" t="s">
        <v>232</v>
      </c>
      <c r="I66" s="38">
        <v>1.0</v>
      </c>
      <c r="J66" s="37" t="s">
        <v>129</v>
      </c>
      <c r="K66" s="38" t="s">
        <v>129</v>
      </c>
      <c r="L66" s="37" t="s">
        <v>129</v>
      </c>
      <c r="M66" s="38" t="s">
        <v>129</v>
      </c>
      <c r="N66" s="36" t="s">
        <v>63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36" t="s">
        <v>63</v>
      </c>
      <c r="B67" s="37" t="s">
        <v>233</v>
      </c>
      <c r="C67" s="38">
        <v>1.0</v>
      </c>
      <c r="D67" s="37" t="s">
        <v>234</v>
      </c>
      <c r="E67" s="38">
        <v>3.0</v>
      </c>
      <c r="F67" s="41" t="s">
        <v>235</v>
      </c>
      <c r="G67" s="42">
        <v>18.0</v>
      </c>
      <c r="H67" s="37" t="s">
        <v>236</v>
      </c>
      <c r="I67" s="38">
        <v>1.0</v>
      </c>
      <c r="J67" s="37"/>
      <c r="K67" s="38"/>
      <c r="L67" s="37"/>
      <c r="M67" s="38"/>
      <c r="N67" s="36" t="s">
        <v>63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36" t="s">
        <v>63</v>
      </c>
      <c r="B68" s="37" t="s">
        <v>237</v>
      </c>
      <c r="C68" s="38">
        <v>1.0</v>
      </c>
      <c r="D68" s="37" t="s">
        <v>238</v>
      </c>
      <c r="E68" s="38">
        <v>1.0</v>
      </c>
      <c r="F68" s="41" t="s">
        <v>239</v>
      </c>
      <c r="G68" s="42">
        <v>18.0</v>
      </c>
      <c r="H68" s="37" t="s">
        <v>240</v>
      </c>
      <c r="I68" s="38">
        <v>1.0</v>
      </c>
      <c r="J68" s="37"/>
      <c r="K68" s="38"/>
      <c r="L68" s="37"/>
      <c r="M68" s="38"/>
      <c r="N68" s="36" t="s">
        <v>63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6" t="s">
        <v>63</v>
      </c>
      <c r="B69" s="37" t="s">
        <v>241</v>
      </c>
      <c r="C69" s="38">
        <v>1.0</v>
      </c>
      <c r="D69" s="37"/>
      <c r="E69" s="38"/>
      <c r="F69" s="77" t="s">
        <v>242</v>
      </c>
      <c r="G69" s="77">
        <v>5.0</v>
      </c>
      <c r="H69" s="41" t="s">
        <v>243</v>
      </c>
      <c r="I69" s="42">
        <v>11.0</v>
      </c>
      <c r="J69" s="37"/>
      <c r="K69" s="38"/>
      <c r="L69" s="37"/>
      <c r="M69" s="38"/>
      <c r="N69" s="36" t="s">
        <v>63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36" t="s">
        <v>63</v>
      </c>
      <c r="B70" s="37" t="s">
        <v>244</v>
      </c>
      <c r="C70" s="38">
        <v>1.0</v>
      </c>
      <c r="D70" s="37" t="s">
        <v>245</v>
      </c>
      <c r="E70" s="38">
        <v>1.0</v>
      </c>
      <c r="F70" s="37"/>
      <c r="G70" s="38"/>
      <c r="H70" s="41" t="s">
        <v>246</v>
      </c>
      <c r="I70" s="42">
        <v>13.0</v>
      </c>
      <c r="J70" s="37"/>
      <c r="K70" s="38"/>
      <c r="L70" s="37"/>
      <c r="M70" s="38"/>
      <c r="N70" s="36" t="s">
        <v>63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36" t="s">
        <v>63</v>
      </c>
      <c r="B71" s="37"/>
      <c r="C71" s="38"/>
      <c r="D71" s="37"/>
      <c r="E71" s="38"/>
      <c r="F71" s="37" t="s">
        <v>247</v>
      </c>
      <c r="G71" s="38">
        <v>1.0</v>
      </c>
      <c r="H71" s="41" t="s">
        <v>145</v>
      </c>
      <c r="I71" s="42">
        <v>1.0</v>
      </c>
      <c r="J71" s="37"/>
      <c r="K71" s="38"/>
      <c r="L71" s="37"/>
      <c r="M71" s="38"/>
      <c r="N71" s="36" t="s">
        <v>63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43" t="s">
        <v>111</v>
      </c>
      <c r="B72" s="44" t="s">
        <v>248</v>
      </c>
      <c r="C72" s="45">
        <v>10.0</v>
      </c>
      <c r="D72" s="44" t="s">
        <v>249</v>
      </c>
      <c r="E72" s="45">
        <v>3.0</v>
      </c>
      <c r="F72" s="44" t="s">
        <v>250</v>
      </c>
      <c r="G72" s="45">
        <v>4.0</v>
      </c>
      <c r="H72" s="44" t="s">
        <v>251</v>
      </c>
      <c r="I72" s="45">
        <v>15.0</v>
      </c>
      <c r="J72" s="44"/>
      <c r="K72" s="45"/>
      <c r="L72" s="44"/>
      <c r="M72" s="45"/>
      <c r="N72" s="43" t="s">
        <v>111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43" t="s">
        <v>111</v>
      </c>
      <c r="B73" s="44" t="s">
        <v>252</v>
      </c>
      <c r="C73" s="45">
        <v>3.0</v>
      </c>
      <c r="D73" s="46" t="s">
        <v>253</v>
      </c>
      <c r="E73" s="47">
        <v>15.0</v>
      </c>
      <c r="F73" s="44" t="s">
        <v>254</v>
      </c>
      <c r="G73" s="45">
        <v>1.0</v>
      </c>
      <c r="H73" s="46" t="s">
        <v>162</v>
      </c>
      <c r="I73" s="47">
        <v>1.0</v>
      </c>
      <c r="J73" s="44" t="s">
        <v>129</v>
      </c>
      <c r="K73" s="45" t="s">
        <v>129</v>
      </c>
      <c r="L73" s="44"/>
      <c r="M73" s="45"/>
      <c r="N73" s="43" t="s">
        <v>111</v>
      </c>
      <c r="O73" s="1"/>
      <c r="P73" s="1">
        <v>2.0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43" t="s">
        <v>111</v>
      </c>
      <c r="B74" s="44" t="s">
        <v>255</v>
      </c>
      <c r="C74" s="45">
        <v>1.0</v>
      </c>
      <c r="D74" s="44" t="s">
        <v>256</v>
      </c>
      <c r="E74" s="45">
        <v>1.0</v>
      </c>
      <c r="F74" s="44"/>
      <c r="G74" s="45"/>
      <c r="H74" s="44"/>
      <c r="I74" s="45"/>
      <c r="J74" s="44"/>
      <c r="K74" s="45"/>
      <c r="L74" s="44"/>
      <c r="M74" s="45"/>
      <c r="N74" s="43" t="s">
        <v>111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43" t="s">
        <v>111</v>
      </c>
      <c r="B75" s="44" t="s">
        <v>257</v>
      </c>
      <c r="C75" s="45">
        <v>1.0</v>
      </c>
      <c r="D75" s="44"/>
      <c r="E75" s="45"/>
      <c r="F75" s="44"/>
      <c r="G75" s="45"/>
      <c r="H75" s="44"/>
      <c r="I75" s="45"/>
      <c r="J75" s="44"/>
      <c r="K75" s="45"/>
      <c r="L75" s="44"/>
      <c r="M75" s="45"/>
      <c r="N75" s="4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49" t="s">
        <v>124</v>
      </c>
      <c r="B76" s="50" t="s">
        <v>258</v>
      </c>
      <c r="C76" s="51">
        <v>1.0</v>
      </c>
      <c r="D76" s="50" t="s">
        <v>259</v>
      </c>
      <c r="E76" s="51">
        <v>2.0</v>
      </c>
      <c r="F76" s="50"/>
      <c r="G76" s="51"/>
      <c r="H76" s="50"/>
      <c r="I76" s="51"/>
      <c r="J76" s="50"/>
      <c r="K76" s="51"/>
      <c r="L76" s="50"/>
      <c r="M76" s="51"/>
      <c r="N76" s="49" t="s">
        <v>124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49" t="s">
        <v>124</v>
      </c>
      <c r="B77" s="50"/>
      <c r="C77" s="51"/>
      <c r="D77" s="50" t="s">
        <v>260</v>
      </c>
      <c r="E77" s="51">
        <v>1.0</v>
      </c>
      <c r="F77" s="50"/>
      <c r="G77" s="51" t="s">
        <v>129</v>
      </c>
      <c r="H77" s="50"/>
      <c r="I77" s="51"/>
      <c r="J77" s="50"/>
      <c r="K77" s="51"/>
      <c r="L77" s="50"/>
      <c r="M77" s="51"/>
      <c r="N77" s="49" t="s">
        <v>124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54" t="s">
        <v>133</v>
      </c>
      <c r="B78" s="55" t="s">
        <v>261</v>
      </c>
      <c r="C78" s="56">
        <v>1.0</v>
      </c>
      <c r="D78" s="55" t="s">
        <v>262</v>
      </c>
      <c r="E78" s="56">
        <v>1.0</v>
      </c>
      <c r="F78" s="55" t="s">
        <v>263</v>
      </c>
      <c r="G78" s="56">
        <v>1.0</v>
      </c>
      <c r="H78" s="55" t="s">
        <v>264</v>
      </c>
      <c r="I78" s="56">
        <v>1.0</v>
      </c>
      <c r="J78" s="55"/>
      <c r="K78" s="56"/>
      <c r="L78" s="55"/>
      <c r="M78" s="56"/>
      <c r="N78" s="54" t="s">
        <v>133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54" t="s">
        <v>133</v>
      </c>
      <c r="B79" s="55"/>
      <c r="C79" s="56"/>
      <c r="D79" s="55"/>
      <c r="E79" s="56"/>
      <c r="F79" s="55" t="s">
        <v>129</v>
      </c>
      <c r="G79" s="56" t="s">
        <v>129</v>
      </c>
      <c r="H79" s="55"/>
      <c r="I79" s="56"/>
      <c r="J79" s="55" t="s">
        <v>129</v>
      </c>
      <c r="K79" s="56" t="s">
        <v>129</v>
      </c>
      <c r="L79" s="55" t="s">
        <v>129</v>
      </c>
      <c r="M79" s="56" t="s">
        <v>129</v>
      </c>
      <c r="N79" s="54" t="s">
        <v>133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57" t="s">
        <v>141</v>
      </c>
      <c r="B80" s="58" t="s">
        <v>265</v>
      </c>
      <c r="C80" s="59">
        <v>2.0</v>
      </c>
      <c r="D80" s="58" t="s">
        <v>129</v>
      </c>
      <c r="E80" s="59" t="s">
        <v>129</v>
      </c>
      <c r="F80" s="73" t="s">
        <v>266</v>
      </c>
      <c r="G80" s="78">
        <v>3.0</v>
      </c>
      <c r="H80" s="58" t="s">
        <v>267</v>
      </c>
      <c r="I80" s="59">
        <v>5.0</v>
      </c>
      <c r="J80" s="58" t="s">
        <v>129</v>
      </c>
      <c r="K80" s="59" t="s">
        <v>129</v>
      </c>
      <c r="L80" s="79" t="s">
        <v>268</v>
      </c>
      <c r="M80" s="80">
        <v>5.0</v>
      </c>
      <c r="N80" s="57" t="s">
        <v>141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57" t="s">
        <v>141</v>
      </c>
      <c r="B81" s="81" t="s">
        <v>269</v>
      </c>
      <c r="C81" s="63">
        <v>2.0</v>
      </c>
      <c r="D81" s="62"/>
      <c r="E81" s="63"/>
      <c r="F81" s="58" t="s">
        <v>270</v>
      </c>
      <c r="G81" s="59">
        <v>1.0</v>
      </c>
      <c r="H81" s="62" t="s">
        <v>271</v>
      </c>
      <c r="I81" s="63">
        <v>2.0</v>
      </c>
      <c r="J81" s="62"/>
      <c r="K81" s="63"/>
      <c r="L81" s="82"/>
      <c r="M81" s="83"/>
      <c r="N81" s="57" t="s">
        <v>141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57" t="s">
        <v>141</v>
      </c>
      <c r="B82" s="62"/>
      <c r="C82" s="63"/>
      <c r="D82" s="62"/>
      <c r="E82" s="63"/>
      <c r="F82" s="58" t="s">
        <v>272</v>
      </c>
      <c r="G82" s="59">
        <v>1.0</v>
      </c>
      <c r="H82" s="62" t="s">
        <v>273</v>
      </c>
      <c r="I82" s="63">
        <v>1.0</v>
      </c>
      <c r="J82" s="62"/>
      <c r="K82" s="63"/>
      <c r="L82" s="82"/>
      <c r="M82" s="83"/>
      <c r="N82" s="57" t="s">
        <v>141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66"/>
      <c r="B83" s="62"/>
      <c r="C83" s="63"/>
      <c r="D83" s="62"/>
      <c r="E83" s="63"/>
      <c r="F83" s="58" t="s">
        <v>274</v>
      </c>
      <c r="G83" s="59">
        <v>1.0</v>
      </c>
      <c r="H83" s="62" t="s">
        <v>275</v>
      </c>
      <c r="I83" s="63">
        <v>1.0</v>
      </c>
      <c r="J83" s="62"/>
      <c r="K83" s="63"/>
      <c r="L83" s="82"/>
      <c r="M83" s="83"/>
      <c r="N83" s="6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66"/>
      <c r="B84" s="62"/>
      <c r="C84" s="63"/>
      <c r="D84" s="62"/>
      <c r="E84" s="63"/>
      <c r="F84" s="58" t="s">
        <v>276</v>
      </c>
      <c r="G84" s="59">
        <v>1.0</v>
      </c>
      <c r="H84" s="62" t="s">
        <v>277</v>
      </c>
      <c r="I84" s="63">
        <v>1.0</v>
      </c>
      <c r="J84" s="62"/>
      <c r="K84" s="63"/>
      <c r="L84" s="82"/>
      <c r="M84" s="83"/>
      <c r="N84" s="6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66"/>
      <c r="B85" s="62"/>
      <c r="C85" s="63"/>
      <c r="D85" s="62"/>
      <c r="E85" s="63"/>
      <c r="F85" s="62"/>
      <c r="G85" s="63"/>
      <c r="H85" s="62" t="s">
        <v>278</v>
      </c>
      <c r="I85" s="63">
        <v>1.0</v>
      </c>
      <c r="J85" s="62"/>
      <c r="K85" s="63"/>
      <c r="L85" s="82"/>
      <c r="M85" s="83"/>
      <c r="N85" s="6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66"/>
      <c r="B86" s="62"/>
      <c r="C86" s="63"/>
      <c r="D86" s="62"/>
      <c r="E86" s="63"/>
      <c r="F86" s="62"/>
      <c r="G86" s="63"/>
      <c r="H86" s="62" t="s">
        <v>279</v>
      </c>
      <c r="I86" s="63">
        <v>1.0</v>
      </c>
      <c r="J86" s="62"/>
      <c r="K86" s="63"/>
      <c r="L86" s="82"/>
      <c r="M86" s="83"/>
      <c r="N86" s="6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66"/>
      <c r="B87" s="62"/>
      <c r="C87" s="63"/>
      <c r="D87" s="62"/>
      <c r="E87" s="63"/>
      <c r="F87" s="62"/>
      <c r="G87" s="63"/>
      <c r="H87" s="62" t="s">
        <v>118</v>
      </c>
      <c r="I87" s="63">
        <v>1.0</v>
      </c>
      <c r="J87" s="62"/>
      <c r="K87" s="63"/>
      <c r="L87" s="82"/>
      <c r="M87" s="83"/>
      <c r="N87" s="66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66"/>
      <c r="B88" s="62"/>
      <c r="C88" s="63"/>
      <c r="D88" s="62"/>
      <c r="E88" s="63"/>
      <c r="F88" s="62"/>
      <c r="G88" s="63"/>
      <c r="H88" s="62" t="s">
        <v>280</v>
      </c>
      <c r="I88" s="63">
        <v>1.0</v>
      </c>
      <c r="J88" s="62"/>
      <c r="K88" s="63"/>
      <c r="L88" s="82"/>
      <c r="M88" s="83"/>
      <c r="N88" s="6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66"/>
      <c r="B89" s="62"/>
      <c r="C89" s="63"/>
      <c r="D89" s="62"/>
      <c r="E89" s="63"/>
      <c r="F89" s="62"/>
      <c r="G89" s="63"/>
      <c r="H89" s="37" t="s">
        <v>281</v>
      </c>
      <c r="I89" s="38">
        <v>1.0</v>
      </c>
      <c r="J89" s="62"/>
      <c r="K89" s="63"/>
      <c r="L89" s="82"/>
      <c r="M89" s="83"/>
      <c r="N89" s="66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6.0" customHeight="1">
      <c r="A90" s="72"/>
      <c r="B90" s="71"/>
      <c r="C90" s="72"/>
      <c r="D90" s="71"/>
      <c r="E90" s="72"/>
      <c r="F90" s="71"/>
      <c r="G90" s="72"/>
      <c r="H90" s="71"/>
      <c r="I90" s="72"/>
      <c r="J90" s="71"/>
      <c r="K90" s="72"/>
      <c r="L90" s="84"/>
      <c r="M90" s="85"/>
      <c r="N90" s="7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70"/>
      <c r="B91" s="69" t="s">
        <v>176</v>
      </c>
      <c r="C91" s="70">
        <f>SUM(C51:C88)</f>
        <v>199</v>
      </c>
      <c r="D91" s="69" t="s">
        <v>176</v>
      </c>
      <c r="E91" s="70">
        <f>SUM(E51:E88)</f>
        <v>233</v>
      </c>
      <c r="F91" s="69" t="s">
        <v>176</v>
      </c>
      <c r="G91" s="70">
        <f>SUM(G51:G88)</f>
        <v>224</v>
      </c>
      <c r="H91" s="69" t="s">
        <v>176</v>
      </c>
      <c r="I91" s="70">
        <f>SUM(I51:I88)</f>
        <v>228</v>
      </c>
      <c r="J91" s="69" t="s">
        <v>176</v>
      </c>
      <c r="K91" s="70">
        <f>SUM(K51:K80)</f>
        <v>0</v>
      </c>
      <c r="L91" s="69" t="s">
        <v>176</v>
      </c>
      <c r="M91" s="70">
        <f>SUM(M51:M80)</f>
        <v>5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70"/>
      <c r="B92" s="69" t="s">
        <v>177</v>
      </c>
      <c r="C92" s="70">
        <v>0.0</v>
      </c>
      <c r="D92" s="69" t="s">
        <v>177</v>
      </c>
      <c r="E92" s="70">
        <v>0.0</v>
      </c>
      <c r="F92" s="69" t="s">
        <v>177</v>
      </c>
      <c r="G92" s="70">
        <v>0.0</v>
      </c>
      <c r="H92" s="69" t="s">
        <v>177</v>
      </c>
      <c r="I92" s="70">
        <v>0.0</v>
      </c>
      <c r="J92" s="69" t="s">
        <v>177</v>
      </c>
      <c r="K92" s="70">
        <v>0.0</v>
      </c>
      <c r="L92" s="69" t="s">
        <v>177</v>
      </c>
      <c r="M92" s="70">
        <v>0.0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70"/>
      <c r="B93" s="69" t="s">
        <v>178</v>
      </c>
      <c r="C93" s="70">
        <f>SUM(C91+C92)</f>
        <v>199</v>
      </c>
      <c r="D93" s="69" t="s">
        <v>178</v>
      </c>
      <c r="E93" s="70">
        <f>SUM(E91+E92)</f>
        <v>233</v>
      </c>
      <c r="F93" s="69" t="s">
        <v>178</v>
      </c>
      <c r="G93" s="70">
        <f>SUM(G91+G92)</f>
        <v>224</v>
      </c>
      <c r="H93" s="69" t="s">
        <v>178</v>
      </c>
      <c r="I93" s="70">
        <f>SUM(I91+I92)</f>
        <v>228</v>
      </c>
      <c r="J93" s="69" t="s">
        <v>178</v>
      </c>
      <c r="K93" s="70">
        <f>SUM(K91+K92)</f>
        <v>0</v>
      </c>
      <c r="L93" s="69" t="s">
        <v>178</v>
      </c>
      <c r="M93" s="70">
        <f>SUM(M91+M92)</f>
        <v>5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71" t="s">
        <v>179</v>
      </c>
      <c r="C94" s="72">
        <f>SUM(250-C93)</f>
        <v>51</v>
      </c>
      <c r="D94" s="71" t="s">
        <v>179</v>
      </c>
      <c r="E94" s="72">
        <f>SUM(250-E93)</f>
        <v>17</v>
      </c>
      <c r="F94" s="71" t="s">
        <v>179</v>
      </c>
      <c r="G94" s="72">
        <f>SUM(250-G93)</f>
        <v>26</v>
      </c>
      <c r="H94" s="71" t="s">
        <v>179</v>
      </c>
      <c r="I94" s="72">
        <f>SUM(250-I93)</f>
        <v>22</v>
      </c>
      <c r="J94" s="71" t="s">
        <v>179</v>
      </c>
      <c r="K94" s="72">
        <f>SUM(200-K93)</f>
        <v>200</v>
      </c>
      <c r="L94" s="71" t="s">
        <v>179</v>
      </c>
      <c r="M94" s="72">
        <f>SUM(200-M93)</f>
        <v>195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 t="s">
        <v>282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 t="s">
        <v>283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 t="s">
        <v>284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 t="s">
        <v>285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 t="s">
        <v>286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 t="s">
        <v>287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 t="s">
        <v>288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 t="s">
        <v>289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 t="s">
        <v>290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 t="s">
        <v>291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 t="s">
        <v>292</v>
      </c>
      <c r="C110" s="1"/>
      <c r="D110" s="1"/>
      <c r="E110" s="1"/>
      <c r="F110" s="1"/>
      <c r="G110" s="1"/>
      <c r="H110" s="1"/>
      <c r="I110" s="1"/>
      <c r="K110" s="1"/>
      <c r="L110" s="86" t="s">
        <v>293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87" t="s">
        <v>294</v>
      </c>
      <c r="C113" s="87" t="s">
        <v>295</v>
      </c>
      <c r="D113" s="87" t="s">
        <v>7</v>
      </c>
      <c r="E113" s="87" t="s">
        <v>8</v>
      </c>
      <c r="F113" s="88" t="s">
        <v>296</v>
      </c>
      <c r="G113" s="1"/>
      <c r="H113" s="1"/>
      <c r="I113" s="1"/>
      <c r="J113" s="1"/>
      <c r="K113" s="87" t="s">
        <v>295</v>
      </c>
      <c r="L113" s="87" t="s">
        <v>7</v>
      </c>
      <c r="M113" s="87" t="s">
        <v>8</v>
      </c>
      <c r="N113" s="88" t="s">
        <v>296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89" t="s">
        <v>282</v>
      </c>
      <c r="C114" s="90">
        <v>1.0</v>
      </c>
      <c r="D114" s="91" t="s">
        <v>228</v>
      </c>
      <c r="E114" s="92">
        <v>14.0</v>
      </c>
      <c r="F114" s="26" t="s">
        <v>286</v>
      </c>
      <c r="G114" s="1"/>
      <c r="H114" s="1"/>
      <c r="I114" s="1"/>
      <c r="J114" s="1"/>
      <c r="K114" s="90">
        <v>1.0</v>
      </c>
      <c r="L114" s="91"/>
      <c r="M114" s="92"/>
      <c r="N114" s="26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89" t="s">
        <v>283</v>
      </c>
      <c r="C115" s="90">
        <v>2.0</v>
      </c>
      <c r="D115" s="91" t="s">
        <v>297</v>
      </c>
      <c r="E115" s="92">
        <v>14.0</v>
      </c>
      <c r="F115" s="26" t="s">
        <v>282</v>
      </c>
      <c r="G115" s="1"/>
      <c r="H115" s="1"/>
      <c r="I115" s="1"/>
      <c r="J115" s="1"/>
      <c r="K115" s="90">
        <v>2.0</v>
      </c>
      <c r="L115" s="91"/>
      <c r="M115" s="92"/>
      <c r="N115" s="26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89" t="s">
        <v>284</v>
      </c>
      <c r="C116" s="90">
        <v>3.0</v>
      </c>
      <c r="D116" s="91" t="s">
        <v>243</v>
      </c>
      <c r="E116" s="91">
        <v>11.0</v>
      </c>
      <c r="F116" s="26" t="s">
        <v>283</v>
      </c>
      <c r="G116" s="1"/>
      <c r="H116" s="1"/>
      <c r="I116" s="1"/>
      <c r="J116" s="1"/>
      <c r="K116" s="90">
        <v>3.0</v>
      </c>
      <c r="L116" s="91"/>
      <c r="M116" s="91"/>
      <c r="N116" s="26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89" t="s">
        <v>285</v>
      </c>
      <c r="C117" s="90">
        <v>4.0</v>
      </c>
      <c r="D117" s="91" t="s">
        <v>16</v>
      </c>
      <c r="E117" s="92">
        <v>15.0</v>
      </c>
      <c r="F117" s="26" t="s">
        <v>285</v>
      </c>
      <c r="G117" s="1"/>
      <c r="H117" s="1"/>
      <c r="I117" s="1"/>
      <c r="J117" s="1"/>
      <c r="K117" s="90">
        <v>4.0</v>
      </c>
      <c r="L117" s="91"/>
      <c r="M117" s="92"/>
      <c r="N117" s="26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89" t="s">
        <v>286</v>
      </c>
      <c r="C118" s="90">
        <v>5.0</v>
      </c>
      <c r="D118" s="91" t="s">
        <v>298</v>
      </c>
      <c r="E118" s="92">
        <v>13.0</v>
      </c>
      <c r="F118" s="26" t="s">
        <v>283</v>
      </c>
      <c r="G118" s="1"/>
      <c r="H118" s="1"/>
      <c r="I118" s="1"/>
      <c r="J118" s="1"/>
      <c r="K118" s="90">
        <v>5.0</v>
      </c>
      <c r="L118" s="91"/>
      <c r="M118" s="92"/>
      <c r="N118" s="26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89" t="s">
        <v>287</v>
      </c>
      <c r="C119" s="90">
        <v>6.0</v>
      </c>
      <c r="D119" s="91" t="s">
        <v>60</v>
      </c>
      <c r="E119" s="91">
        <v>12.0</v>
      </c>
      <c r="F119" s="26" t="s">
        <v>284</v>
      </c>
      <c r="G119" s="1"/>
      <c r="H119" s="1"/>
      <c r="I119" s="1"/>
      <c r="J119" s="1"/>
      <c r="K119" s="90">
        <v>6.0</v>
      </c>
      <c r="L119" s="91"/>
      <c r="M119" s="91"/>
      <c r="N119" s="26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89" t="s">
        <v>288</v>
      </c>
      <c r="C120" s="90">
        <v>7.0</v>
      </c>
      <c r="D120" s="91" t="s">
        <v>42</v>
      </c>
      <c r="E120" s="91">
        <v>28.0</v>
      </c>
      <c r="F120" s="26" t="s">
        <v>289</v>
      </c>
      <c r="G120" s="1"/>
      <c r="H120" s="1"/>
      <c r="I120" s="1"/>
      <c r="J120" s="1"/>
      <c r="K120" s="90">
        <v>7.0</v>
      </c>
      <c r="L120" s="91"/>
      <c r="M120" s="91"/>
      <c r="N120" s="2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89" t="s">
        <v>289</v>
      </c>
      <c r="C121" s="90">
        <v>8.0</v>
      </c>
      <c r="D121" s="89" t="s">
        <v>299</v>
      </c>
      <c r="E121" s="89">
        <v>29.0</v>
      </c>
      <c r="F121" s="26" t="s">
        <v>289</v>
      </c>
      <c r="G121" s="1"/>
      <c r="H121" s="1"/>
      <c r="I121" s="1"/>
      <c r="J121" s="1"/>
      <c r="K121" s="90">
        <v>8.0</v>
      </c>
      <c r="L121" s="89"/>
      <c r="M121" s="89"/>
      <c r="N121" s="26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89" t="s">
        <v>290</v>
      </c>
      <c r="C122" s="90">
        <v>9.0</v>
      </c>
      <c r="D122" s="89" t="s">
        <v>216</v>
      </c>
      <c r="E122" s="89">
        <v>12.0</v>
      </c>
      <c r="F122" s="26" t="s">
        <v>290</v>
      </c>
      <c r="G122" s="1"/>
      <c r="H122" s="1"/>
      <c r="I122" s="1"/>
      <c r="J122" s="1"/>
      <c r="K122" s="90">
        <v>9.0</v>
      </c>
      <c r="L122" s="89"/>
      <c r="M122" s="89"/>
      <c r="N122" s="26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89" t="s">
        <v>291</v>
      </c>
      <c r="C123" s="89">
        <v>10.0</v>
      </c>
      <c r="D123" s="89" t="s">
        <v>300</v>
      </c>
      <c r="E123" s="89">
        <v>15.0</v>
      </c>
      <c r="F123" s="26" t="s">
        <v>290</v>
      </c>
      <c r="G123" s="1"/>
      <c r="H123" s="1"/>
      <c r="I123" s="1"/>
      <c r="J123" s="1"/>
      <c r="K123" s="89">
        <v>10.0</v>
      </c>
      <c r="L123" s="89"/>
      <c r="M123" s="89"/>
      <c r="N123" s="26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48" t="s">
        <v>282</v>
      </c>
      <c r="C124" s="1">
        <v>11.0</v>
      </c>
      <c r="D124" s="1" t="s">
        <v>47</v>
      </c>
      <c r="E124" s="1">
        <v>9.0</v>
      </c>
      <c r="F124" s="1" t="s">
        <v>291</v>
      </c>
      <c r="G124" s="1"/>
      <c r="H124" s="1"/>
      <c r="I124" s="1"/>
      <c r="J124" s="1"/>
      <c r="K124" s="1">
        <v>11.0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48" t="s">
        <v>283</v>
      </c>
      <c r="C125" s="1">
        <v>12.0</v>
      </c>
      <c r="D125" s="1" t="s">
        <v>204</v>
      </c>
      <c r="E125" s="1">
        <v>4.0</v>
      </c>
      <c r="F125" s="1" t="s">
        <v>288</v>
      </c>
      <c r="G125" s="1"/>
      <c r="H125" s="1"/>
      <c r="I125" s="1"/>
      <c r="J125" s="1"/>
      <c r="K125" s="1">
        <v>12.0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48" t="s">
        <v>284</v>
      </c>
      <c r="C126" s="1">
        <v>13.0</v>
      </c>
      <c r="D126" s="1" t="s">
        <v>71</v>
      </c>
      <c r="E126" s="1">
        <v>18.0</v>
      </c>
      <c r="F126" s="1" t="s">
        <v>282</v>
      </c>
      <c r="G126" s="1"/>
      <c r="H126" s="1"/>
      <c r="I126" s="1"/>
      <c r="J126" s="1"/>
      <c r="K126" s="1">
        <v>13.0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48" t="s">
        <v>285</v>
      </c>
      <c r="C127" s="1">
        <v>14.0</v>
      </c>
      <c r="D127" s="1" t="s">
        <v>121</v>
      </c>
      <c r="E127" s="1">
        <v>6.0</v>
      </c>
      <c r="F127" s="1" t="s">
        <v>284</v>
      </c>
      <c r="G127" s="1"/>
      <c r="H127" s="1"/>
      <c r="I127" s="1"/>
      <c r="J127" s="1"/>
      <c r="K127" s="1">
        <v>14.0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48" t="s">
        <v>286</v>
      </c>
      <c r="C128" s="1">
        <v>15.0</v>
      </c>
      <c r="D128" s="1" t="s">
        <v>301</v>
      </c>
      <c r="E128" s="1">
        <v>18.0</v>
      </c>
      <c r="F128" s="1" t="s">
        <v>286</v>
      </c>
      <c r="G128" s="1"/>
      <c r="H128" s="1"/>
      <c r="I128" s="1"/>
      <c r="J128" s="1"/>
      <c r="K128" s="1">
        <v>15.0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48" t="s">
        <v>287</v>
      </c>
      <c r="C129" s="1">
        <v>16.0</v>
      </c>
      <c r="D129" s="1" t="s">
        <v>203</v>
      </c>
      <c r="E129" s="1">
        <v>8.0</v>
      </c>
      <c r="F129" s="1" t="s">
        <v>283</v>
      </c>
      <c r="G129" s="1"/>
      <c r="H129" s="1"/>
      <c r="I129" s="1"/>
      <c r="J129" s="1"/>
      <c r="K129" s="1">
        <v>16.0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48" t="s">
        <v>288</v>
      </c>
      <c r="C130" s="1">
        <v>17.0</v>
      </c>
      <c r="D130" s="1" t="s">
        <v>302</v>
      </c>
      <c r="E130" s="1">
        <v>6.0</v>
      </c>
      <c r="F130" s="1" t="s">
        <v>287</v>
      </c>
      <c r="G130" s="1"/>
      <c r="H130" s="1"/>
      <c r="I130" s="1"/>
      <c r="J130" s="1"/>
      <c r="K130" s="1">
        <v>17.0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48" t="s">
        <v>289</v>
      </c>
      <c r="C131" s="1">
        <v>18.0</v>
      </c>
      <c r="D131" s="1" t="s">
        <v>82</v>
      </c>
      <c r="E131" s="1">
        <v>20.0</v>
      </c>
      <c r="F131" s="1" t="s">
        <v>289</v>
      </c>
      <c r="G131" s="1"/>
      <c r="H131" s="1"/>
      <c r="I131" s="1"/>
      <c r="J131" s="1"/>
      <c r="K131" s="1">
        <v>18.0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48" t="s">
        <v>290</v>
      </c>
      <c r="C132" s="1">
        <v>19.0</v>
      </c>
      <c r="D132" s="1" t="s">
        <v>217</v>
      </c>
      <c r="E132" s="1">
        <v>11.0</v>
      </c>
      <c r="F132" s="1" t="s">
        <v>290</v>
      </c>
      <c r="G132" s="1"/>
      <c r="H132" s="1"/>
      <c r="I132" s="1"/>
      <c r="J132" s="1"/>
      <c r="K132" s="1">
        <v>19.0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48" t="s">
        <v>291</v>
      </c>
      <c r="C133" s="1">
        <v>20.0</v>
      </c>
      <c r="D133" s="1" t="s">
        <v>303</v>
      </c>
      <c r="E133" s="1">
        <v>18.0</v>
      </c>
      <c r="F133" s="1" t="s">
        <v>286</v>
      </c>
      <c r="G133" s="1"/>
      <c r="H133" s="1"/>
      <c r="I133" s="1"/>
      <c r="J133" s="1"/>
      <c r="K133" s="1">
        <v>20.0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93" t="s">
        <v>282</v>
      </c>
      <c r="C134" s="26">
        <v>21.0</v>
      </c>
      <c r="D134" s="26" t="s">
        <v>49</v>
      </c>
      <c r="E134" s="26">
        <v>4.0</v>
      </c>
      <c r="F134" s="26" t="s">
        <v>282</v>
      </c>
      <c r="G134" s="1"/>
      <c r="H134" s="1"/>
      <c r="I134" s="1"/>
      <c r="J134" s="1"/>
      <c r="K134" s="26">
        <v>21.0</v>
      </c>
      <c r="L134" s="26"/>
      <c r="M134" s="26"/>
      <c r="N134" s="26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94" t="s">
        <v>283</v>
      </c>
      <c r="C135" s="26">
        <v>22.0</v>
      </c>
      <c r="D135" s="26" t="s">
        <v>102</v>
      </c>
      <c r="E135" s="26">
        <v>7.0</v>
      </c>
      <c r="F135" s="26" t="s">
        <v>289</v>
      </c>
      <c r="G135" s="1"/>
      <c r="H135" s="1"/>
      <c r="I135" s="1"/>
      <c r="J135" s="1"/>
      <c r="K135" s="26">
        <v>22.0</v>
      </c>
      <c r="L135" s="26"/>
      <c r="M135" s="26"/>
      <c r="N135" s="26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94" t="s">
        <v>284</v>
      </c>
      <c r="C136" s="26">
        <v>23.0</v>
      </c>
      <c r="D136" s="26" t="s">
        <v>304</v>
      </c>
      <c r="E136" s="26">
        <v>7.0</v>
      </c>
      <c r="F136" s="26" t="s">
        <v>284</v>
      </c>
      <c r="G136" s="1"/>
      <c r="H136" s="1"/>
      <c r="I136" s="1"/>
      <c r="J136" s="1"/>
      <c r="K136" s="26">
        <v>23.0</v>
      </c>
      <c r="L136" s="26"/>
      <c r="M136" s="26"/>
      <c r="N136" s="2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94" t="s">
        <v>285</v>
      </c>
      <c r="C137" s="26">
        <v>24.0</v>
      </c>
      <c r="D137" s="26" t="s">
        <v>128</v>
      </c>
      <c r="E137" s="26">
        <v>5.0</v>
      </c>
      <c r="F137" s="26" t="s">
        <v>128</v>
      </c>
      <c r="G137" s="1"/>
      <c r="H137" s="1"/>
      <c r="I137" s="1"/>
      <c r="J137" s="1"/>
      <c r="K137" s="26">
        <v>24.0</v>
      </c>
      <c r="L137" s="26"/>
      <c r="M137" s="26"/>
      <c r="N137" s="26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94" t="s">
        <v>286</v>
      </c>
      <c r="C138" s="26">
        <v>25.0</v>
      </c>
      <c r="D138" s="26" t="s">
        <v>242</v>
      </c>
      <c r="E138" s="26">
        <v>5.0</v>
      </c>
      <c r="F138" s="26" t="s">
        <v>286</v>
      </c>
      <c r="G138" s="1"/>
      <c r="H138" s="1"/>
      <c r="I138" s="1"/>
      <c r="J138" s="1"/>
      <c r="K138" s="26">
        <v>25.0</v>
      </c>
      <c r="L138" s="26"/>
      <c r="M138" s="26"/>
      <c r="N138" s="2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94" t="s">
        <v>287</v>
      </c>
      <c r="C139" s="26">
        <v>26.0</v>
      </c>
      <c r="D139" s="26" t="s">
        <v>305</v>
      </c>
      <c r="E139" s="26">
        <v>5.0</v>
      </c>
      <c r="F139" s="26" t="s">
        <v>289</v>
      </c>
      <c r="G139" s="1"/>
      <c r="H139" s="1"/>
      <c r="I139" s="1"/>
      <c r="J139" s="1"/>
      <c r="K139" s="26">
        <v>26.0</v>
      </c>
      <c r="L139" s="26"/>
      <c r="M139" s="26"/>
      <c r="N139" s="26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94" t="s">
        <v>288</v>
      </c>
      <c r="C140" s="26">
        <v>27.0</v>
      </c>
      <c r="D140" s="26" t="s">
        <v>306</v>
      </c>
      <c r="E140" s="26">
        <v>5.0</v>
      </c>
      <c r="F140" s="26" t="s">
        <v>285</v>
      </c>
      <c r="G140" s="1"/>
      <c r="H140" s="1"/>
      <c r="I140" s="1"/>
      <c r="J140" s="1"/>
      <c r="K140" s="26">
        <v>27.0</v>
      </c>
      <c r="L140" s="26"/>
      <c r="M140" s="26"/>
      <c r="N140" s="2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94" t="s">
        <v>289</v>
      </c>
      <c r="C141" s="26">
        <v>28.0</v>
      </c>
      <c r="D141" s="26"/>
      <c r="E141" s="26"/>
      <c r="F141" s="26"/>
      <c r="G141" s="1"/>
      <c r="H141" s="1"/>
      <c r="I141" s="1"/>
      <c r="J141" s="1"/>
      <c r="K141" s="26">
        <v>28.0</v>
      </c>
      <c r="L141" s="26"/>
      <c r="M141" s="26"/>
      <c r="N141" s="26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94" t="s">
        <v>290</v>
      </c>
      <c r="C142" s="26">
        <v>29.0</v>
      </c>
      <c r="D142" s="26" t="s">
        <v>307</v>
      </c>
      <c r="E142" s="26"/>
      <c r="F142" s="26"/>
      <c r="G142" s="1"/>
      <c r="H142" s="1"/>
      <c r="I142" s="1"/>
      <c r="J142" s="1"/>
      <c r="K142" s="26">
        <v>29.0</v>
      </c>
      <c r="L142" s="26" t="s">
        <v>307</v>
      </c>
      <c r="M142" s="26"/>
      <c r="N142" s="2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94" t="s">
        <v>291</v>
      </c>
      <c r="C143" s="26">
        <v>30.0</v>
      </c>
      <c r="D143" s="26"/>
      <c r="E143" s="26"/>
      <c r="F143" s="26"/>
      <c r="G143" s="1"/>
      <c r="H143" s="1"/>
      <c r="I143" s="1"/>
      <c r="J143" s="1"/>
      <c r="K143" s="26">
        <v>30.0</v>
      </c>
      <c r="L143" s="26"/>
      <c r="M143" s="26"/>
      <c r="N143" s="2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95" t="s">
        <v>282</v>
      </c>
      <c r="C144" s="1">
        <v>31.0</v>
      </c>
      <c r="D144" s="1"/>
      <c r="E144" s="1"/>
      <c r="F144" s="1"/>
      <c r="G144" s="1"/>
      <c r="H144" s="1"/>
      <c r="I144" s="1"/>
      <c r="J144" s="1"/>
      <c r="K144" s="1">
        <v>31.0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96" t="s">
        <v>283</v>
      </c>
      <c r="C145" s="1">
        <v>32.0</v>
      </c>
      <c r="D145" s="1"/>
      <c r="E145" s="1"/>
      <c r="F145" s="1"/>
      <c r="G145" s="1"/>
      <c r="H145" s="1"/>
      <c r="I145" s="1"/>
      <c r="J145" s="1"/>
      <c r="K145" s="1">
        <v>32.0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96" t="s">
        <v>284</v>
      </c>
      <c r="C146" s="1">
        <v>33.0</v>
      </c>
      <c r="D146" s="1"/>
      <c r="E146" s="1"/>
      <c r="F146" s="1"/>
      <c r="G146" s="1"/>
      <c r="H146" s="1"/>
      <c r="I146" s="1"/>
      <c r="J146" s="1"/>
      <c r="K146" s="1">
        <v>33.0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96" t="s">
        <v>285</v>
      </c>
      <c r="C147" s="1">
        <v>34.0</v>
      </c>
      <c r="D147" s="1"/>
      <c r="E147" s="1"/>
      <c r="F147" s="1"/>
      <c r="G147" s="1"/>
      <c r="H147" s="1"/>
      <c r="I147" s="1"/>
      <c r="J147" s="1"/>
      <c r="K147" s="1">
        <v>34.0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96" t="s">
        <v>286</v>
      </c>
      <c r="C148" s="1">
        <v>35.0</v>
      </c>
      <c r="D148" s="1"/>
      <c r="E148" s="1"/>
      <c r="F148" s="1"/>
      <c r="G148" s="1"/>
      <c r="H148" s="1"/>
      <c r="I148" s="1"/>
      <c r="J148" s="1"/>
      <c r="K148" s="1">
        <v>35.0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96" t="s">
        <v>287</v>
      </c>
      <c r="C149" s="1">
        <v>36.0</v>
      </c>
      <c r="D149" s="1"/>
      <c r="E149" s="1"/>
      <c r="F149" s="1"/>
      <c r="G149" s="1"/>
      <c r="H149" s="1"/>
      <c r="I149" s="1"/>
      <c r="J149" s="1"/>
      <c r="K149" s="1">
        <v>36.0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96" t="s">
        <v>288</v>
      </c>
      <c r="C150" s="1">
        <v>37.0</v>
      </c>
      <c r="D150" s="1"/>
      <c r="E150" s="1"/>
      <c r="F150" s="1"/>
      <c r="G150" s="1"/>
      <c r="H150" s="1"/>
      <c r="I150" s="1"/>
      <c r="J150" s="1"/>
      <c r="K150" s="1">
        <v>37.0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96" t="s">
        <v>289</v>
      </c>
      <c r="C151" s="1">
        <v>38.0</v>
      </c>
      <c r="D151" s="1"/>
      <c r="E151" s="1"/>
      <c r="F151" s="1"/>
      <c r="G151" s="1"/>
      <c r="H151" s="1"/>
      <c r="I151" s="1"/>
      <c r="J151" s="1"/>
      <c r="K151" s="1">
        <v>38.0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96" t="s">
        <v>290</v>
      </c>
      <c r="C152" s="1">
        <v>39.0</v>
      </c>
      <c r="D152" s="26" t="s">
        <v>307</v>
      </c>
      <c r="E152" s="1"/>
      <c r="F152" s="1"/>
      <c r="G152" s="1"/>
      <c r="H152" s="1"/>
      <c r="I152" s="1"/>
      <c r="J152" s="1"/>
      <c r="K152" s="1">
        <v>39.0</v>
      </c>
      <c r="L152" s="26" t="s">
        <v>307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96" t="s">
        <v>291</v>
      </c>
      <c r="C153" s="1">
        <v>40.0</v>
      </c>
      <c r="D153" s="1"/>
      <c r="E153" s="1"/>
      <c r="F153" s="1"/>
      <c r="G153" s="1"/>
      <c r="H153" s="1"/>
      <c r="I153" s="1"/>
      <c r="J153" s="1"/>
      <c r="K153" s="1">
        <v>40.0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93" t="s">
        <v>282</v>
      </c>
      <c r="C154" s="26">
        <v>41.0</v>
      </c>
      <c r="D154" s="26"/>
      <c r="E154" s="26"/>
      <c r="F154" s="26"/>
      <c r="G154" s="1"/>
      <c r="H154" s="1"/>
      <c r="I154" s="1"/>
      <c r="J154" s="1"/>
      <c r="K154" s="26">
        <v>41.0</v>
      </c>
      <c r="L154" s="26"/>
      <c r="M154" s="26"/>
      <c r="N154" s="26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94" t="s">
        <v>283</v>
      </c>
      <c r="C155" s="26">
        <v>42.0</v>
      </c>
      <c r="D155" s="26"/>
      <c r="E155" s="26"/>
      <c r="F155" s="26"/>
      <c r="G155" s="1"/>
      <c r="H155" s="1"/>
      <c r="I155" s="1"/>
      <c r="J155" s="1"/>
      <c r="K155" s="26">
        <v>42.0</v>
      </c>
      <c r="L155" s="26"/>
      <c r="M155" s="26"/>
      <c r="N155" s="2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94" t="s">
        <v>284</v>
      </c>
      <c r="C156" s="26">
        <v>43.0</v>
      </c>
      <c r="D156" s="26"/>
      <c r="E156" s="26"/>
      <c r="F156" s="26"/>
      <c r="G156" s="1"/>
      <c r="H156" s="1"/>
      <c r="I156" s="1"/>
      <c r="J156" s="1"/>
      <c r="K156" s="26">
        <v>43.0</v>
      </c>
      <c r="L156" s="26"/>
      <c r="M156" s="26"/>
      <c r="N156" s="2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94" t="s">
        <v>285</v>
      </c>
      <c r="C157" s="26">
        <v>44.0</v>
      </c>
      <c r="D157" s="26"/>
      <c r="E157" s="26"/>
      <c r="F157" s="26"/>
      <c r="G157" s="1"/>
      <c r="H157" s="1"/>
      <c r="I157" s="1"/>
      <c r="J157" s="1"/>
      <c r="K157" s="26">
        <v>44.0</v>
      </c>
      <c r="L157" s="26"/>
      <c r="M157" s="26"/>
      <c r="N157" s="2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94" t="s">
        <v>286</v>
      </c>
      <c r="C158" s="26">
        <v>45.0</v>
      </c>
      <c r="D158" s="26"/>
      <c r="E158" s="26"/>
      <c r="F158" s="26"/>
      <c r="G158" s="1"/>
      <c r="H158" s="1"/>
      <c r="I158" s="1"/>
      <c r="J158" s="1"/>
      <c r="K158" s="26">
        <v>45.0</v>
      </c>
      <c r="L158" s="26"/>
      <c r="M158" s="26"/>
      <c r="N158" s="2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94" t="s">
        <v>287</v>
      </c>
      <c r="C159" s="26">
        <v>46.0</v>
      </c>
      <c r="D159" s="26"/>
      <c r="E159" s="26"/>
      <c r="F159" s="26"/>
      <c r="G159" s="1"/>
      <c r="H159" s="1"/>
      <c r="I159" s="1"/>
      <c r="J159" s="1"/>
      <c r="K159" s="26">
        <v>46.0</v>
      </c>
      <c r="L159" s="26"/>
      <c r="M159" s="26"/>
      <c r="N159" s="2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94" t="s">
        <v>288</v>
      </c>
      <c r="C160" s="26">
        <v>47.0</v>
      </c>
      <c r="D160" s="26"/>
      <c r="E160" s="26"/>
      <c r="F160" s="26"/>
      <c r="G160" s="1"/>
      <c r="H160" s="1"/>
      <c r="I160" s="1"/>
      <c r="J160" s="1"/>
      <c r="K160" s="26">
        <v>47.0</v>
      </c>
      <c r="L160" s="26"/>
      <c r="M160" s="26"/>
      <c r="N160" s="26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94" t="s">
        <v>289</v>
      </c>
      <c r="C161" s="26">
        <v>48.0</v>
      </c>
      <c r="D161" s="26"/>
      <c r="E161" s="26"/>
      <c r="F161" s="26"/>
      <c r="G161" s="1"/>
      <c r="H161" s="1"/>
      <c r="I161" s="1"/>
      <c r="J161" s="1"/>
      <c r="K161" s="26">
        <v>48.0</v>
      </c>
      <c r="L161" s="26"/>
      <c r="M161" s="26"/>
      <c r="N161" s="26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94" t="s">
        <v>290</v>
      </c>
      <c r="C162" s="26">
        <v>49.0</v>
      </c>
      <c r="D162" s="26" t="s">
        <v>307</v>
      </c>
      <c r="E162" s="26"/>
      <c r="F162" s="26"/>
      <c r="G162" s="1"/>
      <c r="H162" s="1"/>
      <c r="I162" s="1"/>
      <c r="J162" s="1"/>
      <c r="K162" s="26">
        <v>49.0</v>
      </c>
      <c r="L162" s="26" t="s">
        <v>307</v>
      </c>
      <c r="M162" s="26"/>
      <c r="N162" s="26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94" t="s">
        <v>291</v>
      </c>
      <c r="C163" s="26">
        <v>50.0</v>
      </c>
      <c r="D163" s="26"/>
      <c r="E163" s="26"/>
      <c r="F163" s="26"/>
      <c r="G163" s="1"/>
      <c r="H163" s="1"/>
      <c r="I163" s="1"/>
      <c r="J163" s="1"/>
      <c r="K163" s="26">
        <v>50.0</v>
      </c>
      <c r="L163" s="26"/>
      <c r="M163" s="26"/>
      <c r="N163" s="26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2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2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2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2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2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2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2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2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2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2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2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2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2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2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2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2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2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2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2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2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2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2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2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</sheetData>
  <printOptions horizontalCentered="1"/>
  <pageMargins bottom="0.25" footer="0.0" header="0.0" left="0.25" right="0.25" top="0.5"/>
  <pageSetup orientation="portrait"/>
  <headerFooter>
    <oddFooter>&amp;R  </oddFooter>
  </headerFooter>
  <rowBreaks count="1" manualBreakCount="1">
    <brk id="4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8.86"/>
    <col customWidth="1" min="3" max="3" width="14.29"/>
    <col customWidth="1" min="4" max="4" width="12.0"/>
    <col customWidth="1" min="5" max="5" width="17.86"/>
    <col customWidth="1" min="6" max="6" width="16.71"/>
    <col customWidth="1" min="7" max="7" width="20.0"/>
    <col customWidth="1" min="8" max="12" width="16.71"/>
    <col customWidth="1" min="13" max="31" width="8.86"/>
  </cols>
  <sheetData>
    <row r="1" ht="12.75" customHeight="1">
      <c r="A1" s="97" t="s">
        <v>0</v>
      </c>
      <c r="B1" s="97"/>
      <c r="C1" s="98"/>
      <c r="D1" s="98"/>
      <c r="E1" s="98"/>
      <c r="F1" s="99"/>
      <c r="G1" s="99"/>
      <c r="H1" s="99"/>
      <c r="I1" s="99"/>
      <c r="J1" s="99"/>
      <c r="K1" s="99"/>
      <c r="L1" s="99"/>
    </row>
    <row r="2" ht="12.75" customHeight="1">
      <c r="A2" s="100" t="s">
        <v>7</v>
      </c>
      <c r="B2" s="101" t="s">
        <v>308</v>
      </c>
      <c r="C2" s="101" t="s">
        <v>309</v>
      </c>
      <c r="D2" s="101" t="s">
        <v>310</v>
      </c>
      <c r="E2" s="101" t="s">
        <v>311</v>
      </c>
      <c r="F2" s="102" t="s">
        <v>312</v>
      </c>
      <c r="G2" s="102" t="s">
        <v>313</v>
      </c>
      <c r="H2" s="102" t="s">
        <v>314</v>
      </c>
      <c r="I2" s="102" t="s">
        <v>315</v>
      </c>
      <c r="J2" s="102" t="s">
        <v>316</v>
      </c>
      <c r="K2" s="102" t="s">
        <v>317</v>
      </c>
      <c r="L2" s="102" t="s">
        <v>318</v>
      </c>
    </row>
    <row r="3" ht="12.75" customHeight="1">
      <c r="A3" s="103" t="s">
        <v>319</v>
      </c>
      <c r="B3" s="104" t="s">
        <v>9</v>
      </c>
      <c r="C3" s="105">
        <f t="shared" ref="C3:C31" si="1">H3</f>
        <v>13</v>
      </c>
      <c r="D3" s="105">
        <v>2021.0</v>
      </c>
      <c r="E3" s="106" t="str">
        <f>IFS('Aaron D'!G3="1 year ext.", "1 of 1 years (ext.)", 'Aaron D'!G3="2 year ext.", "1 of 2 years (ext.)", 'Aaron D'!G3="3 year ext.", "1 of 3 years (ext.)", 'Aaron D'!G3="Releasing","2 of 2 years")</f>
        <v>1 of 1 years (ext.)</v>
      </c>
      <c r="F3" s="107" t="s">
        <v>320</v>
      </c>
      <c r="G3" s="108" t="s">
        <v>321</v>
      </c>
      <c r="H3" s="109">
        <v>13.0</v>
      </c>
      <c r="I3" s="110">
        <f>IFS('Aaron D'!G3="1 year ext.", 'Aaron D'!C3+5, 'Aaron D'!G3="2 year ext.", 'Aaron D'!C3+5, 'Aaron D'!G3="3 year ext.", 'Aaron D'!C3+5, 'Aaron D'!G3="Releasing","0")</f>
        <v>18</v>
      </c>
      <c r="J3" s="110" t="str">
        <f>IFS('Aaron D'!G3="1 year ext.", "0", 'Aaron D'!G3="2 year ext.", 'Aaron D'!C3+10, 'Aaron D'!G3="3 year ext.", 'Aaron D'!C3+10, 'Aaron D'!H3="Releasing","0")</f>
        <v>0</v>
      </c>
      <c r="K3" s="110" t="str">
        <f>IFS('Aaron D'!G3="1 year ext.", "0", 'Aaron D'!G3="2 year ext.", "0", 'Aaron D'!G3="3 year ext.", 'Aaron D'!C3+15, 'Aaron D'!G3="Releasing","0")</f>
        <v>0</v>
      </c>
      <c r="L3" s="111"/>
    </row>
    <row r="4" ht="12.75" customHeight="1">
      <c r="A4" s="103" t="s">
        <v>16</v>
      </c>
      <c r="B4" s="104" t="s">
        <v>9</v>
      </c>
      <c r="C4" s="105">
        <f t="shared" si="1"/>
        <v>15</v>
      </c>
      <c r="D4" s="105">
        <v>2022.0</v>
      </c>
      <c r="E4" s="112" t="s">
        <v>322</v>
      </c>
      <c r="F4" s="107" t="s">
        <v>323</v>
      </c>
      <c r="G4" s="111"/>
      <c r="H4" s="109">
        <v>15.0</v>
      </c>
      <c r="I4" s="113">
        <v>15.0</v>
      </c>
      <c r="J4" s="114"/>
      <c r="K4" s="114"/>
      <c r="L4" s="111"/>
    </row>
    <row r="5" ht="12.75" customHeight="1">
      <c r="A5" s="103"/>
      <c r="B5" s="104"/>
      <c r="C5" s="105" t="str">
        <f t="shared" si="1"/>
        <v/>
      </c>
      <c r="D5" s="105"/>
      <c r="E5" s="105"/>
      <c r="F5" s="115"/>
      <c r="G5" s="111"/>
      <c r="H5" s="109"/>
      <c r="I5" s="116"/>
      <c r="J5" s="114"/>
      <c r="K5" s="114"/>
      <c r="L5" s="111"/>
    </row>
    <row r="6" ht="12.75" customHeight="1">
      <c r="A6" s="117" t="s">
        <v>324</v>
      </c>
      <c r="B6" s="118" t="s">
        <v>24</v>
      </c>
      <c r="C6" s="105">
        <f t="shared" si="1"/>
        <v>42</v>
      </c>
      <c r="D6" s="105">
        <v>2021.0</v>
      </c>
      <c r="E6" s="106" t="str">
        <f>IFS('Aaron D'!G6="1 year ext.", "1 of 1 years (ext.)", 'Aaron D'!G6="2 year ext.", "1 of 2 years (ext.)", 'Aaron D'!G6="3 year ext.", "1 of 3 years (ext.)", 'Aaron D'!G6="Releasing","2 of 2 years")</f>
        <v>1 of 1 years (ext.)</v>
      </c>
      <c r="F6" s="107" t="s">
        <v>320</v>
      </c>
      <c r="G6" s="108" t="s">
        <v>321</v>
      </c>
      <c r="H6" s="109">
        <v>42.0</v>
      </c>
      <c r="I6" s="110">
        <f>IFS('Aaron D'!G6="1 year ext.", 'Aaron D'!C6+5, 'Aaron D'!G6="2 year ext.", 'Aaron D'!C6+5, 'Aaron D'!G6="3 year ext.", 'Aaron D'!C6+5, 'Aaron D'!G6="Releasing","0")</f>
        <v>47</v>
      </c>
      <c r="J6" s="110" t="str">
        <f>IFS('Aaron D'!G6="1 year ext.", "0", 'Aaron D'!G6="2 year ext.", 'Aaron D'!C6+10, 'Aaron D'!G6="3 year ext.", 'Aaron D'!C6+10, 'Aaron D'!H6="Releasing","0")</f>
        <v>0</v>
      </c>
      <c r="K6" s="110" t="str">
        <f>IFS('Aaron D'!G6="1 year ext.", "0", 'Aaron D'!G6="2 year ext.", "0", 'Aaron D'!G6="3 year ext.", 'Aaron D'!C6+15, 'Aaron D'!G6="Releasing","0")</f>
        <v>0</v>
      </c>
      <c r="L6" s="111"/>
    </row>
    <row r="7" ht="12.75" customHeight="1">
      <c r="A7" s="117" t="s">
        <v>325</v>
      </c>
      <c r="B7" s="118" t="s">
        <v>24</v>
      </c>
      <c r="C7" s="105">
        <f t="shared" si="1"/>
        <v>12</v>
      </c>
      <c r="D7" s="105">
        <v>2021.0</v>
      </c>
      <c r="E7" s="106" t="str">
        <f>IFS('Aaron D'!G7="1 year ext.", "1 of 1 years (ext.)", 'Aaron D'!G7="2 year ext.", "1 of 2 years (ext.)", 'Aaron D'!G7="3 year ext.", "1 of 3 years (ext.)", 'Aaron D'!G7="Releasing","2 of 2 years")</f>
        <v>2 of 2 years</v>
      </c>
      <c r="F7" s="107" t="s">
        <v>320</v>
      </c>
      <c r="G7" s="108" t="s">
        <v>326</v>
      </c>
      <c r="H7" s="109">
        <v>12.0</v>
      </c>
      <c r="I7" s="110" t="str">
        <f>IFS('Aaron D'!G7="1 year ext.", 'Aaron D'!C7+5, 'Aaron D'!G7="2 year ext.", 'Aaron D'!C7+5, 'Aaron D'!G7="3 year ext.", 'Aaron D'!C7+5, 'Aaron D'!G7="Releasing","0")</f>
        <v>0</v>
      </c>
      <c r="J7" s="110" t="str">
        <f>IFS('Aaron D'!G7="1 year ext.", "0", 'Aaron D'!G7="2 year ext.", 'Aaron D'!C7+10, 'Aaron D'!G7="3 year ext.", 'Aaron D'!C7+10, 'Aaron D'!G7="Releasing","0")</f>
        <v>0</v>
      </c>
      <c r="K7" s="110" t="str">
        <f>IFS('Aaron D'!G7="1 year ext.", "0", 'Aaron D'!G7="2 year ext.", "0", 'Aaron D'!G7="3 year ext.", 'Aaron D'!C7+15, 'Aaron D'!G7="Releasing","0")</f>
        <v>0</v>
      </c>
      <c r="L7" s="119"/>
    </row>
    <row r="8" ht="12.75" customHeight="1">
      <c r="A8" s="117" t="s">
        <v>327</v>
      </c>
      <c r="B8" s="118" t="s">
        <v>24</v>
      </c>
      <c r="C8" s="105">
        <f t="shared" si="1"/>
        <v>3</v>
      </c>
      <c r="D8" s="105">
        <v>2021.0</v>
      </c>
      <c r="E8" s="106" t="str">
        <f>IFS('Aaron D'!G8="1 year ext.", "1 of 1 years (ext.)", 'Aaron D'!G8="2 year ext.", "1 of 2 years (ext.)", 'Aaron D'!G8="3 year ext.", "1 of 3 years (ext.)", 'Aaron D'!G8="Releasing","2 of 2 years")</f>
        <v>1 of 2 years (ext.)</v>
      </c>
      <c r="F8" s="107" t="s">
        <v>320</v>
      </c>
      <c r="G8" s="108" t="s">
        <v>328</v>
      </c>
      <c r="H8" s="109">
        <v>3.0</v>
      </c>
      <c r="I8" s="110">
        <f>IFS('Aaron D'!G8="1 year ext.", 'Aaron D'!C8+5, 'Aaron D'!G8="2 year ext.", 'Aaron D'!C8+5, 'Aaron D'!G8="3 year ext.", 'Aaron D'!C8+5, 'Aaron D'!G8="Releasing","0")</f>
        <v>8</v>
      </c>
      <c r="J8" s="110">
        <f>IFS('Aaron D'!G8="1 year ext.", "0", 'Aaron D'!G8="2 year ext.", 'Aaron D'!C8+10, 'Aaron D'!G8="3 year ext.", 'Aaron D'!C8+10, 'Aaron D'!H8="Releasing","0")</f>
        <v>13</v>
      </c>
      <c r="K8" s="110" t="str">
        <f>IFS('Aaron D'!G8="1 year ext.", "0", 'Aaron D'!G8="2 year ext.", "0", 'Aaron D'!G8="3 year ext.", 'Aaron D'!C8+15, 'Aaron D'!G8="Releasing","0")</f>
        <v>0</v>
      </c>
      <c r="L8" s="119"/>
    </row>
    <row r="9" ht="12.75" customHeight="1">
      <c r="A9" s="117" t="s">
        <v>329</v>
      </c>
      <c r="B9" s="118" t="s">
        <v>24</v>
      </c>
      <c r="C9" s="105">
        <f t="shared" si="1"/>
        <v>7</v>
      </c>
      <c r="D9" s="105">
        <v>2021.0</v>
      </c>
      <c r="E9" s="106" t="str">
        <f>IFS('Aaron D'!G9="1 year ext.", "1 of 1 years (ext.)", 'Aaron D'!G9="2 year ext.", "1 of 2 years (ext.)", 'Aaron D'!G9="3 year ext.", "1 of 3 years (ext.)", 'Aaron D'!G9="Releasing","2 of 2 years")</f>
        <v>2 of 2 years</v>
      </c>
      <c r="F9" s="107" t="s">
        <v>320</v>
      </c>
      <c r="G9" s="108" t="s">
        <v>326</v>
      </c>
      <c r="H9" s="109">
        <v>7.0</v>
      </c>
      <c r="I9" s="110" t="str">
        <f>IFS('Aaron D'!G9="1 year ext.", 'Aaron D'!C9+5, 'Aaron D'!G9="2 year ext.", 'Aaron D'!C9+5, 'Aaron D'!G9="3 year ext.", 'Aaron D'!C9+5, 'Aaron D'!G9="Releasing","0")</f>
        <v>0</v>
      </c>
      <c r="J9" s="110" t="str">
        <f>IFS('Aaron D'!G9="1 year ext.", "0", 'Aaron D'!G9="2 year ext.", 'Aaron D'!C9+10, 'Aaron D'!G9="3 year ext.", 'Aaron D'!C9+10, 'Aaron D'!G9="Releasing","0")</f>
        <v>0</v>
      </c>
      <c r="K9" s="110" t="str">
        <f>IFS('Aaron D'!G9="1 year ext.", "0", 'Aaron D'!G9="2 year ext.", "0", 'Aaron D'!G9="3 year ext.", 'Aaron D'!C9+15, 'Aaron D'!G9="Releasing","0")</f>
        <v>0</v>
      </c>
      <c r="L9" s="119"/>
    </row>
    <row r="10" ht="12.75" customHeight="1">
      <c r="A10" s="117" t="s">
        <v>330</v>
      </c>
      <c r="B10" s="118" t="s">
        <v>24</v>
      </c>
      <c r="C10" s="105">
        <f t="shared" si="1"/>
        <v>1</v>
      </c>
      <c r="D10" s="105">
        <v>2021.0</v>
      </c>
      <c r="E10" s="106" t="str">
        <f>IFS('Aaron D'!G10="1 year ext.", "1 of 1 years (ext.)", 'Aaron D'!G10="2 year ext.", "1 of 2 years (ext.)", 'Aaron D'!G10="3 year ext.", "1 of 3 years (ext.)", 'Aaron D'!G10="Releasing","2 of 2 years")</f>
        <v>1 of 3 years (ext.)</v>
      </c>
      <c r="F10" s="107" t="s">
        <v>320</v>
      </c>
      <c r="G10" s="108" t="s">
        <v>331</v>
      </c>
      <c r="H10" s="109">
        <v>1.0</v>
      </c>
      <c r="I10" s="110">
        <f>IFS('Aaron D'!G10="1 year ext.", 'Aaron D'!C10+5, 'Aaron D'!G10="2 year ext.", 'Aaron D'!C10+5, 'Aaron D'!G10="3 year ext.", 'Aaron D'!C10+5, 'Aaron D'!G10="Releasing","0")</f>
        <v>6</v>
      </c>
      <c r="J10" s="110">
        <f>IFS('Aaron D'!G10="1 year ext.", "0", 'Aaron D'!G10="2 year ext.", 'Aaron D'!C10+10, 'Aaron D'!G10="3 year ext.", 'Aaron D'!C10+10, 'Aaron D'!G10="Releasing","0")</f>
        <v>11</v>
      </c>
      <c r="K10" s="110">
        <f>IFS('Aaron D'!G10="1 year ext.", "0", 'Aaron D'!G10="2 year ext.", "0", 'Aaron D'!G10="3 year ext.", 'Aaron D'!C10+15, 'Aaron D'!G10="Releasing","0")</f>
        <v>16</v>
      </c>
      <c r="L10" s="119"/>
    </row>
    <row r="11" ht="12.75" customHeight="1">
      <c r="A11" s="117" t="s">
        <v>32</v>
      </c>
      <c r="B11" s="118" t="s">
        <v>24</v>
      </c>
      <c r="C11" s="105">
        <f t="shared" si="1"/>
        <v>3</v>
      </c>
      <c r="D11" s="105">
        <v>2021.0</v>
      </c>
      <c r="E11" s="106" t="str">
        <f>IFS('Aaron D'!G11="1 year ext.", "1 of 1 years (ext.)", 'Aaron D'!G11="2 year ext.", "1 of 2 years (ext.)", 'Aaron D'!G11="3 year ext.", "1 of 3 years (ext.)", 'Aaron D'!G11="Releasing","2 of 2 years")</f>
        <v>1 of 2 years (ext.)</v>
      </c>
      <c r="F11" s="107" t="s">
        <v>320</v>
      </c>
      <c r="G11" s="108" t="s">
        <v>328</v>
      </c>
      <c r="H11" s="109">
        <v>3.0</v>
      </c>
      <c r="I11" s="110">
        <f>IFS('Aaron D'!G11="1 year ext.", 'Aaron D'!C11+5, 'Aaron D'!G11="2 year ext.", 'Aaron D'!C11+5, 'Aaron D'!G11="3 year ext.", 'Aaron D'!C11+5, 'Aaron D'!G11="Releasing","0")</f>
        <v>8</v>
      </c>
      <c r="J11" s="110">
        <f>IFS('Aaron D'!G11="1 year ext.", "0", 'Aaron D'!G11="2 year ext.", 'Aaron D'!C11+10, 'Aaron D'!G11="3 year ext.", 'Aaron D'!C11+10, 'Aaron D'!H11="Releasing","0")</f>
        <v>13</v>
      </c>
      <c r="K11" s="110" t="str">
        <f>IFS('Aaron D'!G11="1 year ext.", "0", 'Aaron D'!G11="2 year ext.", "0", 'Aaron D'!G11="3 year ext.", 'Aaron D'!C11+15, 'Aaron D'!G11="Releasing","0")</f>
        <v>0</v>
      </c>
      <c r="L11" s="119"/>
    </row>
    <row r="12" ht="12.75" customHeight="1">
      <c r="A12" s="117" t="s">
        <v>332</v>
      </c>
      <c r="B12" s="118" t="s">
        <v>24</v>
      </c>
      <c r="C12" s="105">
        <f t="shared" si="1"/>
        <v>2</v>
      </c>
      <c r="D12" s="105">
        <v>2022.0</v>
      </c>
      <c r="E12" s="112" t="s">
        <v>322</v>
      </c>
      <c r="F12" s="107" t="s">
        <v>323</v>
      </c>
      <c r="G12" s="119"/>
      <c r="H12" s="109">
        <v>2.0</v>
      </c>
      <c r="I12" s="120">
        <v>2.0</v>
      </c>
      <c r="J12" s="121"/>
      <c r="K12" s="121"/>
      <c r="L12" s="119"/>
    </row>
    <row r="13" ht="12.75" customHeight="1">
      <c r="A13" s="117"/>
      <c r="B13" s="118"/>
      <c r="C13" s="105" t="str">
        <f t="shared" si="1"/>
        <v/>
      </c>
      <c r="D13" s="105"/>
      <c r="E13" s="105"/>
      <c r="F13" s="115"/>
      <c r="G13" s="119"/>
      <c r="H13" s="109"/>
      <c r="I13" s="122"/>
      <c r="J13" s="121"/>
      <c r="K13" s="121"/>
      <c r="L13" s="119"/>
    </row>
    <row r="14" ht="12.75" customHeight="1">
      <c r="A14" s="123" t="s">
        <v>64</v>
      </c>
      <c r="B14" s="124" t="s">
        <v>63</v>
      </c>
      <c r="C14" s="105">
        <f t="shared" si="1"/>
        <v>28</v>
      </c>
      <c r="D14" s="105">
        <v>2021.0</v>
      </c>
      <c r="E14" s="106" t="str">
        <f>IFS('Aaron D'!G14="1 year ext.", "1 of 1 years (ext.)", 'Aaron D'!G14="2 year ext.", "1 of 2 years (ext.)", 'Aaron D'!G14="3 year ext.", "1 of 3 years (ext.)", 'Aaron D'!G14="Releasing","2 of 2 years")</f>
        <v>2 of 2 years</v>
      </c>
      <c r="F14" s="107" t="s">
        <v>320</v>
      </c>
      <c r="G14" s="108" t="s">
        <v>326</v>
      </c>
      <c r="H14" s="109">
        <v>28.0</v>
      </c>
      <c r="I14" s="110" t="str">
        <f>IFS('Aaron D'!G14="1 year ext.", 'Aaron D'!C14+5, 'Aaron D'!G14="2 year ext.", 'Aaron D'!C14+5, 'Aaron D'!G14="3 year ext.", 'Aaron D'!C14+5, 'Aaron D'!G14="Releasing","0")</f>
        <v>0</v>
      </c>
      <c r="J14" s="110" t="str">
        <f>IFS('Aaron D'!G14="1 year ext.", "0", 'Aaron D'!G14="2 year ext.", 'Aaron D'!C14+10, 'Aaron D'!G14="3 year ext.", 'Aaron D'!C14+10, 'Aaron D'!G14="Releasing","0")</f>
        <v>0</v>
      </c>
      <c r="K14" s="110" t="str">
        <f>IFS('Aaron D'!G14="1 year ext.", "0", 'Aaron D'!G14="2 year ext.", "0", 'Aaron D'!G14="3 year ext.", 'Aaron D'!C14+15, 'Aaron D'!G14="Releasing","0")</f>
        <v>0</v>
      </c>
      <c r="L14" s="119"/>
    </row>
    <row r="15" ht="12.75" customHeight="1">
      <c r="A15" s="123" t="s">
        <v>333</v>
      </c>
      <c r="B15" s="124" t="s">
        <v>63</v>
      </c>
      <c r="C15" s="105">
        <f t="shared" si="1"/>
        <v>2</v>
      </c>
      <c r="D15" s="105">
        <v>2021.0</v>
      </c>
      <c r="E15" s="106" t="str">
        <f>IFS('Aaron D'!G15="1 year ext.", "1 of 1 years (ext.)", 'Aaron D'!G15="2 year ext.", "1 of 2 years (ext.)", 'Aaron D'!G15="3 year ext.", "1 of 3 years (ext.)", 'Aaron D'!G15="Releasing","2 of 2 years")</f>
        <v>1 of 1 years (ext.)</v>
      </c>
      <c r="F15" s="107" t="s">
        <v>320</v>
      </c>
      <c r="G15" s="108" t="s">
        <v>321</v>
      </c>
      <c r="H15" s="109">
        <v>2.0</v>
      </c>
      <c r="I15" s="110">
        <f>IFS('Aaron D'!G15="1 year ext.", 'Aaron D'!C15+5, 'Aaron D'!G15="2 year ext.", 'Aaron D'!C15+5, 'Aaron D'!G15="3 year ext.", 'Aaron D'!C15+5, 'Aaron D'!G15="Releasing","0")</f>
        <v>7</v>
      </c>
      <c r="J15" s="110" t="str">
        <f>IFS('Aaron D'!G15="1 year ext.", "0", 'Aaron D'!G15="2 year ext.", 'Aaron D'!C15+10, 'Aaron D'!G15="3 year ext.", 'Aaron D'!C15+10, 'Aaron D'!H15="Releasing","0")</f>
        <v>0</v>
      </c>
      <c r="K15" s="110" t="str">
        <f>IFS('Aaron D'!G15="1 year ext.", "0", 'Aaron D'!G15="2 year ext.", "0", 'Aaron D'!G15="3 year ext.", 'Aaron D'!C15+15, 'Aaron D'!G15="Releasing","0")</f>
        <v>0</v>
      </c>
      <c r="L15" s="119"/>
    </row>
    <row r="16" ht="12.75" customHeight="1">
      <c r="A16" s="125" t="s">
        <v>70</v>
      </c>
      <c r="B16" s="126" t="s">
        <v>63</v>
      </c>
      <c r="C16" s="105">
        <f t="shared" si="1"/>
        <v>18</v>
      </c>
      <c r="D16" s="105">
        <v>2021.0</v>
      </c>
      <c r="E16" s="106" t="str">
        <f>IFS('Aaron D'!G16="1 year ext.", "1 of 1 years (ext.)", 'Aaron D'!G16="2 year ext.", "1 of 2 years (ext.)", 'Aaron D'!G16="3 year ext.", "1 of 3 years (ext.)", 'Aaron D'!G16="Releasing","2 of 2 years")</f>
        <v>2 of 2 years</v>
      </c>
      <c r="F16" s="107" t="s">
        <v>320</v>
      </c>
      <c r="G16" s="108" t="s">
        <v>326</v>
      </c>
      <c r="H16" s="109">
        <v>18.0</v>
      </c>
      <c r="I16" s="110" t="str">
        <f>IFS('Aaron D'!G16="1 year ext.", 'Aaron D'!C16+5, 'Aaron D'!G16="2 year ext.", 'Aaron D'!C16+5, 'Aaron D'!G16="3 year ext.", 'Aaron D'!C16+5, 'Aaron D'!G16="Releasing","0")</f>
        <v>0</v>
      </c>
      <c r="J16" s="110" t="str">
        <f>IFS('Aaron D'!G16="1 year ext.", "0", 'Aaron D'!G16="2 year ext.", 'Aaron D'!C16+10, 'Aaron D'!G16="3 year ext.", 'Aaron D'!C16+10, 'Aaron D'!G16="Releasing","0")</f>
        <v>0</v>
      </c>
      <c r="K16" s="110" t="str">
        <f>IFS('Aaron D'!G16="1 year ext.", "0", 'Aaron D'!G16="2 year ext.", "0", 'Aaron D'!G16="3 year ext.", 'Aaron D'!C16+15, 'Aaron D'!G16="Releasing","0")</f>
        <v>0</v>
      </c>
      <c r="L16" s="119"/>
    </row>
    <row r="17" ht="12.75" customHeight="1">
      <c r="A17" s="125" t="s">
        <v>334</v>
      </c>
      <c r="B17" s="126" t="s">
        <v>63</v>
      </c>
      <c r="C17" s="105">
        <f t="shared" si="1"/>
        <v>11</v>
      </c>
      <c r="D17" s="105">
        <v>2021.0</v>
      </c>
      <c r="E17" s="106" t="str">
        <f>IFS('Aaron D'!G17="1 year ext.", "1 of 1 years (ext.)", 'Aaron D'!G17="2 year ext.", "1 of 2 years (ext.)", 'Aaron D'!G17="3 year ext.", "1 of 3 years (ext.)", 'Aaron D'!G17="Releasing","2 of 2 years")</f>
        <v>1 of 2 years (ext.)</v>
      </c>
      <c r="F17" s="107" t="s">
        <v>320</v>
      </c>
      <c r="G17" s="108" t="s">
        <v>328</v>
      </c>
      <c r="H17" s="109">
        <v>11.0</v>
      </c>
      <c r="I17" s="110">
        <f>IFS('Aaron D'!G17="1 year ext.", 'Aaron D'!C17+5, 'Aaron D'!G17="2 year ext.", 'Aaron D'!C17+5, 'Aaron D'!G17="3 year ext.", 'Aaron D'!C17+5, 'Aaron D'!G17="Releasing","0")</f>
        <v>16</v>
      </c>
      <c r="J17" s="110">
        <f>IFS('Aaron D'!G17="1 year ext.", "0", 'Aaron D'!G17="2 year ext.", 'Aaron D'!C17+10, 'Aaron D'!G17="3 year ext.", 'Aaron D'!C17+10, 'Aaron D'!H17="Releasing","0")</f>
        <v>21</v>
      </c>
      <c r="K17" s="110" t="str">
        <f>IFS('Aaron D'!G17="1 year ext.", "0", 'Aaron D'!G17="2 year ext.", "0", 'Aaron D'!G17="3 year ext.", 'Aaron D'!C17+15, 'Aaron D'!G17="Releasing","0")</f>
        <v>0</v>
      </c>
      <c r="L17" s="127"/>
    </row>
    <row r="18" ht="12.75" customHeight="1">
      <c r="A18" s="125" t="s">
        <v>335</v>
      </c>
      <c r="B18" s="126" t="s">
        <v>63</v>
      </c>
      <c r="C18" s="105">
        <f t="shared" si="1"/>
        <v>6</v>
      </c>
      <c r="D18" s="105">
        <v>2021.0</v>
      </c>
      <c r="E18" s="106" t="str">
        <f>IFS('Aaron D'!G18="1 year ext.", "1 of 1 years (ext.)", 'Aaron D'!G18="2 year ext.", "1 of 2 years (ext.)", 'Aaron D'!G18="3 year ext.", "1 of 3 years (ext.)", 'Aaron D'!G18="Releasing","2 of 2 years")</f>
        <v>2 of 2 years</v>
      </c>
      <c r="F18" s="107" t="s">
        <v>320</v>
      </c>
      <c r="G18" s="108" t="s">
        <v>326</v>
      </c>
      <c r="H18" s="109">
        <v>6.0</v>
      </c>
      <c r="I18" s="110" t="str">
        <f>IFS('Aaron D'!G18="1 year ext.", 'Aaron D'!C18+5, 'Aaron D'!G18="2 year ext.", 'Aaron D'!C18+5, 'Aaron D'!G18="3 year ext.", 'Aaron D'!C18+5, 'Aaron D'!G18="Releasing","0")</f>
        <v>0</v>
      </c>
      <c r="J18" s="110" t="str">
        <f>IFS('Aaron D'!G18="1 year ext.", "0", 'Aaron D'!G18="2 year ext.", 'Aaron D'!C18+10, 'Aaron D'!G18="3 year ext.", 'Aaron D'!C18+10, 'Aaron D'!G18="Releasing","0")</f>
        <v>0</v>
      </c>
      <c r="K18" s="110" t="str">
        <f>IFS('Aaron D'!G18="1 year ext.", "0", 'Aaron D'!G18="2 year ext.", "0", 'Aaron D'!G18="3 year ext.", 'Aaron D'!C18+15, 'Aaron D'!G18="Releasing","0")</f>
        <v>0</v>
      </c>
      <c r="L18" s="127"/>
    </row>
    <row r="19" ht="12.75" customHeight="1">
      <c r="A19" s="125" t="s">
        <v>336</v>
      </c>
      <c r="B19" s="126" t="s">
        <v>63</v>
      </c>
      <c r="C19" s="105">
        <f t="shared" si="1"/>
        <v>3</v>
      </c>
      <c r="D19" s="105">
        <v>2021.0</v>
      </c>
      <c r="E19" s="106" t="str">
        <f>IFS('Aaron D'!G19="1 year ext.", "1 of 1 years (ext.)", 'Aaron D'!G19="2 year ext.", "1 of 2 years (ext.)", 'Aaron D'!G19="3 year ext.", "1 of 3 years (ext.)", 'Aaron D'!G19="Releasing","2 of 2 years")</f>
        <v>1 of 3 years (ext.)</v>
      </c>
      <c r="F19" s="107" t="s">
        <v>320</v>
      </c>
      <c r="G19" s="108" t="s">
        <v>331</v>
      </c>
      <c r="H19" s="109">
        <v>3.0</v>
      </c>
      <c r="I19" s="110">
        <f>IFS('Aaron D'!G19="1 year ext.", 'Aaron D'!C19+5, 'Aaron D'!G19="2 year ext.", 'Aaron D'!C19+5, 'Aaron D'!G19="3 year ext.", 'Aaron D'!C19+5, 'Aaron D'!G19="Releasing","0")</f>
        <v>8</v>
      </c>
      <c r="J19" s="110">
        <f>IFS('Aaron D'!G19="1 year ext.", "0", 'Aaron D'!G19="2 year ext.", 'Aaron D'!C19+10, 'Aaron D'!G19="3 year ext.", 'Aaron D'!C19+10, 'Aaron D'!H19="Releasing","0")</f>
        <v>13</v>
      </c>
      <c r="K19" s="110">
        <f>IFS('Aaron D'!G19="1 year ext.", "0", 'Aaron D'!G19="2 year ext.", "0", 'Aaron D'!G19="3 year ext.", 'Aaron D'!C19+15, 'Aaron D'!G19="Releasing","0")</f>
        <v>18</v>
      </c>
      <c r="L19" s="127"/>
    </row>
    <row r="20" ht="12.75" customHeight="1">
      <c r="A20" s="125" t="s">
        <v>88</v>
      </c>
      <c r="B20" s="126" t="s">
        <v>63</v>
      </c>
      <c r="C20" s="105">
        <f t="shared" si="1"/>
        <v>8</v>
      </c>
      <c r="D20" s="105">
        <v>2021.0</v>
      </c>
      <c r="E20" s="106" t="str">
        <f>IFS('Aaron D'!G20="1 year ext.", "1 of 1 years (ext.)", 'Aaron D'!G20="2 year ext.", "1 of 2 years (ext.)", 'Aaron D'!G20="3 year ext.", "1 of 3 years (ext.)", 'Aaron D'!G20="Releasing","2 of 2 years")</f>
        <v>1 of 3 years (ext.)</v>
      </c>
      <c r="F20" s="107" t="s">
        <v>320</v>
      </c>
      <c r="G20" s="108" t="s">
        <v>331</v>
      </c>
      <c r="H20" s="109">
        <v>8.0</v>
      </c>
      <c r="I20" s="110">
        <f>IFS('Aaron D'!G20="1 year ext.", 'Aaron D'!C20+5, 'Aaron D'!G20="2 year ext.", 'Aaron D'!C20+5, 'Aaron D'!G20="3 year ext.", 'Aaron D'!C20+5, 'Aaron D'!G20="Releasing","0")</f>
        <v>13</v>
      </c>
      <c r="J20" s="110">
        <f>IFS('Aaron D'!G20="1 year ext.", "0", 'Aaron D'!G20="2 year ext.", 'Aaron D'!C20+10, 'Aaron D'!G20="3 year ext.", 'Aaron D'!C20+10, 'Aaron D'!H20="Releasing","0")</f>
        <v>18</v>
      </c>
      <c r="K20" s="110">
        <f>IFS('Aaron D'!G20="1 year ext.", "0", 'Aaron D'!G20="2 year ext.", "0", 'Aaron D'!G20="3 year ext.", 'Aaron D'!C20+15, 'Aaron D'!G20="Releasing","0")</f>
        <v>23</v>
      </c>
      <c r="L20" s="127"/>
    </row>
    <row r="21" ht="12.75" customHeight="1">
      <c r="A21" s="125" t="s">
        <v>109</v>
      </c>
      <c r="B21" s="126" t="s">
        <v>63</v>
      </c>
      <c r="C21" s="105">
        <f t="shared" si="1"/>
        <v>1</v>
      </c>
      <c r="D21" s="105">
        <v>2022.0</v>
      </c>
      <c r="E21" s="112" t="s">
        <v>322</v>
      </c>
      <c r="F21" s="107" t="s">
        <v>323</v>
      </c>
      <c r="G21" s="127"/>
      <c r="H21" s="109">
        <v>1.0</v>
      </c>
      <c r="I21" s="128">
        <v>1.0</v>
      </c>
      <c r="J21" s="129"/>
      <c r="K21" s="129"/>
      <c r="L21" s="127"/>
    </row>
    <row r="22" ht="12.75" customHeight="1">
      <c r="A22" s="125" t="s">
        <v>337</v>
      </c>
      <c r="B22" s="126" t="s">
        <v>63</v>
      </c>
      <c r="C22" s="105">
        <f t="shared" si="1"/>
        <v>6</v>
      </c>
      <c r="D22" s="105">
        <v>2022.0</v>
      </c>
      <c r="E22" s="112" t="s">
        <v>322</v>
      </c>
      <c r="F22" s="107" t="s">
        <v>323</v>
      </c>
      <c r="G22" s="111"/>
      <c r="H22" s="109">
        <v>6.0</v>
      </c>
      <c r="I22" s="110">
        <v>6.0</v>
      </c>
      <c r="J22" s="110"/>
      <c r="K22" s="110"/>
      <c r="L22" s="127"/>
    </row>
    <row r="23" ht="12.75" customHeight="1">
      <c r="A23" s="125" t="s">
        <v>338</v>
      </c>
      <c r="B23" s="126" t="s">
        <v>63</v>
      </c>
      <c r="C23" s="105">
        <f t="shared" si="1"/>
        <v>9</v>
      </c>
      <c r="D23" s="105">
        <v>2022.0</v>
      </c>
      <c r="E23" s="112" t="s">
        <v>322</v>
      </c>
      <c r="F23" s="107" t="s">
        <v>323</v>
      </c>
      <c r="G23" s="111"/>
      <c r="H23" s="109">
        <v>9.0</v>
      </c>
      <c r="I23" s="110">
        <v>9.0</v>
      </c>
      <c r="J23" s="110"/>
      <c r="K23" s="110"/>
      <c r="L23" s="127"/>
    </row>
    <row r="24" ht="12.75" customHeight="1">
      <c r="A24" s="125"/>
      <c r="B24" s="126"/>
      <c r="C24" s="105" t="str">
        <f t="shared" si="1"/>
        <v/>
      </c>
      <c r="D24" s="105"/>
      <c r="E24" s="105"/>
      <c r="F24" s="107"/>
      <c r="G24" s="127"/>
      <c r="H24" s="109"/>
      <c r="I24" s="130"/>
      <c r="J24" s="129"/>
      <c r="K24" s="129"/>
      <c r="L24" s="127"/>
    </row>
    <row r="25" ht="12.75" customHeight="1">
      <c r="A25" s="131" t="s">
        <v>339</v>
      </c>
      <c r="B25" s="132" t="s">
        <v>111</v>
      </c>
      <c r="C25" s="105">
        <f t="shared" si="1"/>
        <v>2</v>
      </c>
      <c r="D25" s="105">
        <v>2021.0</v>
      </c>
      <c r="E25" s="106" t="str">
        <f>IFS('Aaron D'!G25="1 year ext.", "1 of 1 years (ext.)", 'Aaron D'!G25="2 year ext.", "1 of 2 years (ext.)", 'Aaron D'!G25="3 year ext.", "1 of 3 years (ext.)", 'Aaron D'!G25="Releasing","2 of 2 years")</f>
        <v>1 of 2 years (ext.)</v>
      </c>
      <c r="F25" s="107" t="s">
        <v>320</v>
      </c>
      <c r="G25" s="108" t="s">
        <v>328</v>
      </c>
      <c r="H25" s="109">
        <v>2.0</v>
      </c>
      <c r="I25" s="110">
        <f>IFS('Aaron D'!G25="1 year ext.", 'Aaron D'!C25+5, 'Aaron D'!G25="2 year ext.", 'Aaron D'!C25+5, 'Aaron D'!G25="3 year ext.", 'Aaron D'!C25+5, 'Aaron D'!G25="Releasing","0")</f>
        <v>7</v>
      </c>
      <c r="J25" s="110">
        <f>IFS('Aaron D'!G25="1 year ext.", "0", 'Aaron D'!G25="2 year ext.", 'Aaron D'!C25+10, 'Aaron D'!G25="3 year ext.", 'Aaron D'!C25+10, 'Aaron D'!H25="Releasing","0")</f>
        <v>12</v>
      </c>
      <c r="K25" s="110" t="str">
        <f>IFS('Aaron D'!G25="1 year ext.", "0", 'Aaron D'!G25="2 year ext.", "0", 'Aaron D'!G25="3 year ext.", 'Aaron D'!C25+15, 'Aaron D'!G25="Releasing","0")</f>
        <v>0</v>
      </c>
      <c r="L25" s="127"/>
    </row>
    <row r="26" ht="12.75" customHeight="1">
      <c r="A26" s="131" t="s">
        <v>306</v>
      </c>
      <c r="B26" s="132" t="s">
        <v>111</v>
      </c>
      <c r="C26" s="105">
        <f t="shared" si="1"/>
        <v>5</v>
      </c>
      <c r="D26" s="105">
        <v>2022.0</v>
      </c>
      <c r="E26" s="112" t="s">
        <v>322</v>
      </c>
      <c r="F26" s="107" t="s">
        <v>323</v>
      </c>
      <c r="G26" s="108"/>
      <c r="H26" s="109">
        <v>5.0</v>
      </c>
      <c r="I26" s="110">
        <v>5.0</v>
      </c>
      <c r="J26" s="110"/>
      <c r="K26" s="110"/>
      <c r="L26" s="127"/>
    </row>
    <row r="27" ht="12.75" customHeight="1">
      <c r="A27" s="131"/>
      <c r="B27" s="132"/>
      <c r="C27" s="105" t="str">
        <f t="shared" si="1"/>
        <v/>
      </c>
      <c r="D27" s="105"/>
      <c r="E27" s="105"/>
      <c r="F27" s="107"/>
      <c r="G27" s="108"/>
      <c r="H27" s="109"/>
      <c r="I27" s="110"/>
      <c r="J27" s="110"/>
      <c r="K27" s="110"/>
      <c r="L27" s="127"/>
    </row>
    <row r="28" ht="12.75" customHeight="1">
      <c r="A28" s="133"/>
      <c r="B28" s="134" t="s">
        <v>124</v>
      </c>
      <c r="C28" s="105" t="str">
        <f t="shared" si="1"/>
        <v/>
      </c>
      <c r="D28" s="105"/>
      <c r="E28" s="105"/>
      <c r="F28" s="107"/>
      <c r="G28" s="108"/>
      <c r="H28" s="109"/>
      <c r="I28" s="110"/>
      <c r="J28" s="110"/>
      <c r="K28" s="110"/>
      <c r="L28" s="127"/>
    </row>
    <row r="29" ht="12.75" customHeight="1">
      <c r="A29" s="133"/>
      <c r="B29" s="134"/>
      <c r="C29" s="105" t="str">
        <f t="shared" si="1"/>
        <v/>
      </c>
      <c r="D29" s="105"/>
      <c r="E29" s="105"/>
      <c r="F29" s="107"/>
      <c r="G29" s="108"/>
      <c r="H29" s="109"/>
      <c r="I29" s="110"/>
      <c r="J29" s="110"/>
      <c r="K29" s="110"/>
      <c r="L29" s="127"/>
    </row>
    <row r="30" ht="12.75" customHeight="1">
      <c r="A30" s="135" t="s">
        <v>340</v>
      </c>
      <c r="B30" s="136" t="s">
        <v>133</v>
      </c>
      <c r="C30" s="105">
        <f t="shared" si="1"/>
        <v>1</v>
      </c>
      <c r="D30" s="105">
        <v>2021.0</v>
      </c>
      <c r="E30" s="106" t="str">
        <f>IFS('Aaron D'!G30="1 year ext.", "1 of 1 years (ext.)", 'Aaron D'!G30="2 year ext.", "1 of 2 ext.", 'Aaron D'!G30="3 year ext.", "1 of 3 ext.", 'Aaron D'!G30="Releasing","2 of 2 years")</f>
        <v>2 of 2 years</v>
      </c>
      <c r="F30" s="107"/>
      <c r="G30" s="108" t="s">
        <v>326</v>
      </c>
      <c r="H30" s="109">
        <v>1.0</v>
      </c>
      <c r="I30" s="110" t="str">
        <f>IFS('Aaron D'!G30="1 year ext.", 'Aaron D'!C30+5, 'Aaron D'!G30="2 year ext.", 'Aaron D'!C30+5, 'Aaron D'!G30="3 year ext.", 'Aaron D'!C30+5, 'Aaron D'!G30="Releasing","0")</f>
        <v>0</v>
      </c>
      <c r="J30" s="110" t="str">
        <f>IFS('Aaron D'!G30="1 year ext.", "0", 'Aaron D'!G30="2 year ext.", 'Aaron D'!C30+10, 'Aaron D'!G30="3 year ext.", 'Aaron D'!C30+10, 'Aaron D'!G30="Releasing","0")</f>
        <v>0</v>
      </c>
      <c r="K30" s="110" t="str">
        <f>IFS('Aaron D'!G30="1 year ext.", "0", 'Aaron D'!G30="2 year ext.", "0", 'Aaron D'!G30="3 year ext.", 'Aaron D'!C30+15, 'Aaron D'!G30="Releasing","0")</f>
        <v>0</v>
      </c>
      <c r="L30" s="127"/>
    </row>
    <row r="31" ht="12.75" customHeight="1">
      <c r="A31" s="135"/>
      <c r="B31" s="136"/>
      <c r="C31" s="105" t="str">
        <f t="shared" si="1"/>
        <v/>
      </c>
      <c r="D31" s="136"/>
      <c r="E31" s="136"/>
      <c r="F31" s="137"/>
      <c r="G31" s="137"/>
      <c r="H31" s="138"/>
      <c r="I31" s="138"/>
      <c r="J31" s="138"/>
      <c r="K31" s="138"/>
      <c r="L31" s="139"/>
    </row>
    <row r="32" ht="12.75" customHeight="1">
      <c r="A32" s="140" t="s">
        <v>341</v>
      </c>
      <c r="B32" s="141"/>
      <c r="C32" s="141"/>
      <c r="D32" s="141"/>
      <c r="E32" s="141"/>
      <c r="F32" s="142"/>
      <c r="G32" s="141"/>
      <c r="H32" s="143"/>
      <c r="I32" s="143"/>
      <c r="J32" s="144"/>
      <c r="K32" s="144"/>
      <c r="L32" s="145"/>
    </row>
    <row r="33" ht="12.75" customHeight="1">
      <c r="A33" s="146" t="s">
        <v>342</v>
      </c>
      <c r="B33" s="147"/>
      <c r="C33" s="148"/>
      <c r="D33" s="142">
        <v>2021.0</v>
      </c>
      <c r="E33" s="141" t="s">
        <v>343</v>
      </c>
      <c r="F33" s="142"/>
      <c r="G33" s="141"/>
      <c r="H33" s="144">
        <v>1.0</v>
      </c>
      <c r="I33" s="144"/>
      <c r="J33" s="144"/>
      <c r="K33" s="144"/>
      <c r="L33" s="145"/>
    </row>
    <row r="34" ht="12.75" customHeight="1">
      <c r="A34" s="146" t="s">
        <v>344</v>
      </c>
      <c r="B34" s="147"/>
      <c r="C34" s="148"/>
      <c r="D34" s="142">
        <v>2021.0</v>
      </c>
      <c r="E34" s="141" t="s">
        <v>343</v>
      </c>
      <c r="F34" s="142"/>
      <c r="G34" s="141"/>
      <c r="H34" s="144">
        <v>5.0</v>
      </c>
      <c r="I34" s="144"/>
      <c r="J34" s="144"/>
      <c r="K34" s="144"/>
      <c r="L34" s="145"/>
    </row>
    <row r="35" ht="12.75" customHeight="1">
      <c r="A35" s="146" t="s">
        <v>345</v>
      </c>
      <c r="B35" s="147"/>
      <c r="C35" s="148"/>
      <c r="D35" s="142">
        <v>2021.0</v>
      </c>
      <c r="E35" s="141" t="s">
        <v>343</v>
      </c>
      <c r="F35" s="142"/>
      <c r="G35" s="141"/>
      <c r="H35" s="144">
        <v>2.0</v>
      </c>
      <c r="I35" s="144"/>
      <c r="J35" s="144"/>
      <c r="K35" s="144"/>
      <c r="L35" s="145"/>
    </row>
    <row r="36" ht="12.75" customHeight="1">
      <c r="A36" s="146" t="s">
        <v>346</v>
      </c>
      <c r="B36" s="147"/>
      <c r="C36" s="148"/>
      <c r="D36" s="142">
        <v>2021.0</v>
      </c>
      <c r="E36" s="141" t="s">
        <v>343</v>
      </c>
      <c r="F36" s="142"/>
      <c r="G36" s="141"/>
      <c r="H36" s="144">
        <v>1.0</v>
      </c>
      <c r="I36" s="144"/>
      <c r="J36" s="144"/>
      <c r="K36" s="144"/>
      <c r="L36" s="145"/>
    </row>
    <row r="37" ht="12.75" customHeight="1">
      <c r="A37" s="146" t="s">
        <v>347</v>
      </c>
      <c r="B37" s="147"/>
      <c r="C37" s="148"/>
      <c r="D37" s="142">
        <v>2021.0</v>
      </c>
      <c r="E37" s="141" t="s">
        <v>343</v>
      </c>
      <c r="F37" s="142"/>
      <c r="G37" s="141"/>
      <c r="H37" s="144">
        <v>1.0</v>
      </c>
      <c r="I37" s="144"/>
      <c r="J37" s="144"/>
      <c r="K37" s="144"/>
      <c r="L37" s="145"/>
    </row>
    <row r="38" ht="12.75" customHeight="1">
      <c r="A38" s="146" t="s">
        <v>348</v>
      </c>
      <c r="B38" s="147"/>
      <c r="C38" s="148"/>
      <c r="D38" s="142">
        <v>2021.0</v>
      </c>
      <c r="E38" s="141" t="s">
        <v>343</v>
      </c>
      <c r="F38" s="142"/>
      <c r="G38" s="141"/>
      <c r="H38" s="144">
        <v>1.0</v>
      </c>
      <c r="I38" s="144"/>
      <c r="J38" s="144"/>
      <c r="K38" s="144"/>
      <c r="L38" s="145"/>
    </row>
    <row r="39" ht="12.75" customHeight="1">
      <c r="A39" s="146"/>
      <c r="B39" s="147"/>
      <c r="C39" s="141"/>
      <c r="D39" s="141"/>
      <c r="E39" s="141"/>
      <c r="F39" s="142"/>
      <c r="G39" s="141"/>
      <c r="H39" s="144"/>
      <c r="I39" s="144"/>
      <c r="J39" s="144"/>
      <c r="K39" s="144"/>
      <c r="L39" s="145"/>
    </row>
    <row r="40" ht="12.75" customHeight="1">
      <c r="A40" s="146"/>
      <c r="B40" s="147"/>
      <c r="C40" s="141"/>
      <c r="D40" s="141"/>
      <c r="E40" s="141"/>
      <c r="F40" s="142"/>
      <c r="G40" s="141"/>
      <c r="H40" s="144"/>
      <c r="I40" s="144"/>
      <c r="J40" s="144"/>
      <c r="K40" s="144"/>
      <c r="L40" s="145"/>
    </row>
    <row r="41" ht="12.75" customHeight="1">
      <c r="A41" s="97"/>
      <c r="B41" s="97"/>
      <c r="C41" s="149"/>
      <c r="D41" s="149"/>
      <c r="E41" s="149"/>
      <c r="F41" s="150"/>
      <c r="G41" s="149"/>
      <c r="H41" s="151"/>
      <c r="I41" s="151"/>
      <c r="J41" s="151"/>
      <c r="K41" s="151"/>
      <c r="L41" s="152"/>
    </row>
    <row r="42" ht="12.75" customHeight="1">
      <c r="A42" s="153" t="s">
        <v>349</v>
      </c>
      <c r="B42" s="154"/>
      <c r="C42" s="154">
        <f>SUM('Aaron D'!C3:'Aaron D'!C40)</f>
        <v>198</v>
      </c>
      <c r="D42" s="155"/>
      <c r="E42" s="156"/>
      <c r="F42" s="157"/>
      <c r="G42" s="157"/>
      <c r="H42" s="154">
        <f>SUM('Aaron D'!H3:'Aaron D'!H40)</f>
        <v>209</v>
      </c>
      <c r="I42" s="154">
        <f>SUM('Aaron D'!I3:'Aaron D'!I40)</f>
        <v>176</v>
      </c>
      <c r="J42" s="154">
        <f>SUM('Aaron D'!J3:'Aaron D'!J40)</f>
        <v>101</v>
      </c>
      <c r="K42" s="154">
        <f>SUM('Aaron D'!K3:'Aaron D'!K40)</f>
        <v>57</v>
      </c>
      <c r="L42" s="158"/>
    </row>
    <row r="43" ht="12.75" customHeight="1">
      <c r="A43" s="159" t="s">
        <v>350</v>
      </c>
      <c r="B43" s="159"/>
      <c r="C43" s="160">
        <f>(250-'Aaron D'!C42)</f>
        <v>52</v>
      </c>
      <c r="D43" s="161"/>
      <c r="E43" s="98"/>
      <c r="H43" s="160">
        <f>(250-'Aaron D'!H42)</f>
        <v>41</v>
      </c>
      <c r="I43" s="160">
        <f>(250-'Aaron D'!I42)</f>
        <v>74</v>
      </c>
      <c r="J43" s="160">
        <f>(250-'Aaron D'!J42)</f>
        <v>149</v>
      </c>
      <c r="K43" s="160">
        <f>(250-'Aaron D'!K42)</f>
        <v>193</v>
      </c>
      <c r="L43" s="162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</sheetData>
  <dataValidations>
    <dataValidation type="list" allowBlank="1" showErrorMessage="1" sqref="G3 G6:G11 G14:G20 G25 G30">
      <formula1>"1 year ext.,2 year ext.,3 year ext.,Releasing"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7" width="19.86"/>
    <col customWidth="1" min="8" max="11" width="14.43"/>
    <col customWidth="1" min="12" max="26" width="8.86"/>
  </cols>
  <sheetData>
    <row r="1" ht="12.75" customHeight="1">
      <c r="A1" s="97" t="s">
        <v>1</v>
      </c>
      <c r="B1" s="97"/>
      <c r="C1" s="98"/>
      <c r="D1" s="98"/>
      <c r="E1" s="98"/>
      <c r="F1" s="98"/>
    </row>
    <row r="2" ht="12.75" customHeight="1">
      <c r="A2" s="100" t="s">
        <v>7</v>
      </c>
      <c r="B2" s="101" t="s">
        <v>308</v>
      </c>
      <c r="C2" s="101" t="s">
        <v>351</v>
      </c>
      <c r="D2" s="101" t="s">
        <v>310</v>
      </c>
      <c r="E2" s="101" t="s">
        <v>352</v>
      </c>
      <c r="F2" s="163" t="s">
        <v>312</v>
      </c>
      <c r="G2" s="164" t="s">
        <v>313</v>
      </c>
      <c r="H2" s="164" t="s">
        <v>314</v>
      </c>
      <c r="I2" s="164" t="s">
        <v>315</v>
      </c>
      <c r="J2" s="164" t="s">
        <v>316</v>
      </c>
      <c r="K2" s="164" t="s">
        <v>317</v>
      </c>
      <c r="L2" s="164" t="s">
        <v>318</v>
      </c>
    </row>
    <row r="3" ht="12.75" customHeight="1">
      <c r="A3" s="103" t="s">
        <v>353</v>
      </c>
      <c r="B3" s="165" t="s">
        <v>9</v>
      </c>
      <c r="C3" s="166">
        <v>3.0</v>
      </c>
      <c r="D3" s="166">
        <v>2021.0</v>
      </c>
      <c r="E3" s="167" t="str">
        <f>IFS('Andrew M'!G3="1 year ext.", "1 of 1 years (ext.)", 'Andrew M'!G3="2 year ext.", "1 of 2 years (ext.)", 'Andrew M'!G3="3 year ext.", "1 of 3 years (ext.)", 'Andrew M'!G3="Releasing","2 of 2 years")</f>
        <v>2 of 2 years</v>
      </c>
      <c r="F3" s="112" t="s">
        <v>320</v>
      </c>
      <c r="G3" s="168" t="s">
        <v>326</v>
      </c>
      <c r="H3" s="166">
        <v>3.0</v>
      </c>
      <c r="I3" s="110" t="str">
        <f>IFS('Andrew M'!G3="1 year ext.", 'Andrew M'!C3+5, 'Andrew M'!G3="2 year ext.", 'Andrew M'!C3+5, 'Andrew M'!G3="3 year ext.", 'Andrew M'!C3+5, 'Andrew M'!G3="Releasing","0")</f>
        <v>0</v>
      </c>
      <c r="J3" s="110" t="str">
        <f>IFS('Andrew M'!G3="1 year ext.", "0", 'Andrew M'!G3="2 year ext.", 'Andrew M'!C3+10, 'Andrew M'!G3="3 year ext.", 'Andrew M'!C3+10, 'Andrew M'!H3="Releasing","0")</f>
        <v>#N/A</v>
      </c>
      <c r="K3" s="110" t="str">
        <f>IFS('Andrew M'!G3="1 year ext.", "0", 'Andrew M'!G3="2 year ext.", "0", 'Andrew M'!G3="3 year ext.", 'Andrew M'!C3+15, 'Andrew M'!G3="Releasing","0")</f>
        <v>0</v>
      </c>
      <c r="L3" s="169"/>
    </row>
    <row r="4" ht="12.75" customHeight="1">
      <c r="A4" s="103" t="s">
        <v>354</v>
      </c>
      <c r="B4" s="165" t="s">
        <v>9</v>
      </c>
      <c r="C4" s="166">
        <v>3.0</v>
      </c>
      <c r="D4" s="166">
        <v>2021.0</v>
      </c>
      <c r="E4" s="167" t="str">
        <f>IFS('Andrew M'!G4="1 year ext.", "1 of 1 years (ext.)", 'Andrew M'!G4="2 year ext.", "1 of 2 years (ext.)", 'Andrew M'!G4="3 year ext.", "1 of 3 years (ext.)", 'Andrew M'!G4="Releasing","2 of 2 years")</f>
        <v>2 of 2 years</v>
      </c>
      <c r="F4" s="112" t="s">
        <v>320</v>
      </c>
      <c r="G4" s="168" t="s">
        <v>326</v>
      </c>
      <c r="H4" s="166">
        <v>3.0</v>
      </c>
      <c r="I4" s="110" t="str">
        <f>IFS('Andrew M'!G4="1 year ext.", 'Andrew M'!C4+5, 'Andrew M'!G4="2 year ext.", 'Andrew M'!C4+5, 'Andrew M'!G4="3 year ext.", 'Andrew M'!C4+5, 'Andrew M'!G4="Releasing","0")</f>
        <v>0</v>
      </c>
      <c r="J4" s="110" t="str">
        <f>IFS('Andrew M'!G4="1 year ext.", "0", 'Andrew M'!G4="2 year ext.", 'Andrew M'!C4+10, 'Andrew M'!G4="3 year ext.", 'Andrew M'!C4+10, 'Andrew M'!H4="Releasing","0")</f>
        <v>#N/A</v>
      </c>
      <c r="K4" s="110" t="str">
        <f>IFS('Andrew M'!G4="1 year ext.", "0", 'Andrew M'!G4="2 year ext.", "0", 'Andrew M'!G4="3 year ext.", 'Andrew M'!C4+15, 'Andrew M'!G4="Releasing","0")</f>
        <v>0</v>
      </c>
      <c r="L4" s="169"/>
    </row>
    <row r="5" ht="12.75" customHeight="1">
      <c r="A5" s="103"/>
      <c r="B5" s="165"/>
      <c r="C5" s="170"/>
      <c r="D5" s="170"/>
      <c r="E5" s="170"/>
      <c r="F5" s="105"/>
      <c r="G5" s="171" t="s">
        <v>129</v>
      </c>
      <c r="H5" s="170"/>
      <c r="I5" s="169"/>
      <c r="J5" s="169"/>
      <c r="K5" s="169"/>
      <c r="L5" s="169"/>
    </row>
    <row r="6" ht="12.75" customHeight="1">
      <c r="A6" s="117" t="s">
        <v>355</v>
      </c>
      <c r="B6" s="172" t="s">
        <v>24</v>
      </c>
      <c r="C6" s="166">
        <v>50.0</v>
      </c>
      <c r="D6" s="166">
        <v>2021.0</v>
      </c>
      <c r="E6" s="167" t="str">
        <f>IFS('Andrew M'!G6="1 year ext.", "1 of 1 years (ext.)", 'Andrew M'!G6="2 year ext.", "1 of 2 years (ext.)", 'Andrew M'!G6="3 year ext.", "1 of 3 years (ext.)", 'Andrew M'!G6="Releasing","2 of 2 years")</f>
        <v>2 of 2 years</v>
      </c>
      <c r="F6" s="112" t="s">
        <v>320</v>
      </c>
      <c r="G6" s="168" t="s">
        <v>326</v>
      </c>
      <c r="H6" s="166">
        <v>50.0</v>
      </c>
      <c r="I6" s="110" t="str">
        <f>IFS('Andrew M'!G6="1 year ext.", 'Andrew M'!C6+5, 'Andrew M'!G6="2 year ext.", 'Andrew M'!C6+5, 'Andrew M'!G6="3 year ext.", 'Andrew M'!C6+5, 'Andrew M'!G6="Releasing","0")</f>
        <v>0</v>
      </c>
      <c r="J6" s="110" t="str">
        <f>IFS('Andrew M'!G6="1 year ext.", "0", 'Andrew M'!G6="2 year ext.", 'Andrew M'!C6+10, 'Andrew M'!G6="3 year ext.", 'Andrew M'!C6+10, 'Andrew M'!H6="Releasing","0")</f>
        <v>#N/A</v>
      </c>
      <c r="K6" s="110" t="str">
        <f>IFS('Andrew M'!G6="1 year ext.", "0", 'Andrew M'!G6="2 year ext.", "0", 'Andrew M'!G6="3 year ext.", 'Andrew M'!C6+15, 'Andrew M'!G6="Releasing","0")</f>
        <v>0</v>
      </c>
      <c r="L6" s="169"/>
    </row>
    <row r="7" ht="12.75" customHeight="1">
      <c r="A7" s="117" t="s">
        <v>356</v>
      </c>
      <c r="B7" s="172" t="s">
        <v>24</v>
      </c>
      <c r="C7" s="166">
        <v>36.0</v>
      </c>
      <c r="D7" s="166">
        <v>2021.0</v>
      </c>
      <c r="E7" s="167" t="str">
        <f>IFS('Andrew M'!G7="1 year ext.", "1 of 1 years (ext.)", 'Andrew M'!G7="2 year ext.", "1 of 2 years (ext.)", 'Andrew M'!G7="3 year ext.", "1 of 3 years (ext.)", 'Andrew M'!G7="Releasing","2 of 2 years")</f>
        <v>2 of 2 years</v>
      </c>
      <c r="F7" s="112" t="s">
        <v>320</v>
      </c>
      <c r="G7" s="168" t="s">
        <v>326</v>
      </c>
      <c r="H7" s="166">
        <v>36.0</v>
      </c>
      <c r="I7" s="110" t="str">
        <f>IFS('Andrew M'!G7="1 year ext.", 'Andrew M'!C7+5, 'Andrew M'!G7="2 year ext.", 'Andrew M'!C7+5, 'Andrew M'!G7="3 year ext.", 'Andrew M'!C7+5, 'Andrew M'!G7="Releasing","0")</f>
        <v>0</v>
      </c>
      <c r="J7" s="110" t="str">
        <f>IFS('Andrew M'!G7="1 year ext.", "0", 'Andrew M'!G7="2 year ext.", 'Andrew M'!C7+10, 'Andrew M'!G7="3 year ext.", 'Andrew M'!C7+10, 'Andrew M'!H7="Releasing","0")</f>
        <v>#N/A</v>
      </c>
      <c r="K7" s="110" t="str">
        <f>IFS('Andrew M'!G7="1 year ext.", "0", 'Andrew M'!G7="2 year ext.", "0", 'Andrew M'!G7="3 year ext.", 'Andrew M'!C7+15, 'Andrew M'!G7="Releasing","0")</f>
        <v>0</v>
      </c>
      <c r="L7" s="169"/>
    </row>
    <row r="8" ht="12.75" customHeight="1">
      <c r="A8" s="117" t="s">
        <v>357</v>
      </c>
      <c r="B8" s="172" t="s">
        <v>24</v>
      </c>
      <c r="C8" s="166">
        <v>1.0</v>
      </c>
      <c r="D8" s="166">
        <v>2021.0</v>
      </c>
      <c r="E8" s="167" t="str">
        <f>IFS('Andrew M'!G8="1 year ext.", "1 of 1 years (ext.)", 'Andrew M'!G8="2 year ext.", "1 of 2 years (ext.)", 'Andrew M'!G8="3 year ext.", "1 of 3 years (ext.)", 'Andrew M'!G8="Releasing","2 of 2 years")</f>
        <v>1 of 3 years (ext.)</v>
      </c>
      <c r="F8" s="112" t="s">
        <v>320</v>
      </c>
      <c r="G8" s="168" t="s">
        <v>331</v>
      </c>
      <c r="H8" s="166">
        <v>1.0</v>
      </c>
      <c r="I8" s="110">
        <f>IFS('Andrew M'!G8="1 year ext.", 'Andrew M'!C8+5, 'Andrew M'!G8="2 year ext.", 'Andrew M'!C8+5, 'Andrew M'!G8="3 year ext.", 'Andrew M'!C8+5, 'Andrew M'!G8="Releasing","0")</f>
        <v>6</v>
      </c>
      <c r="J8" s="110">
        <f>IFS('Andrew M'!G8="1 year ext.", "0", 'Andrew M'!G8="2 year ext.", 'Andrew M'!C8+10, 'Andrew M'!G8="3 year ext.", 'Andrew M'!C8+10, 'Andrew M'!H8="Releasing","0")</f>
        <v>11</v>
      </c>
      <c r="K8" s="110">
        <f>IFS('Andrew M'!G8="1 year ext.", "0", 'Andrew M'!G8="2 year ext.", "0", 'Andrew M'!G8="3 year ext.", 'Andrew M'!C8+15, 'Andrew M'!G8="Releasing","0")</f>
        <v>16</v>
      </c>
      <c r="L8" s="169"/>
    </row>
    <row r="9" ht="12.75" customHeight="1">
      <c r="A9" s="117" t="s">
        <v>358</v>
      </c>
      <c r="B9" s="172" t="s">
        <v>24</v>
      </c>
      <c r="C9" s="166">
        <v>14.0</v>
      </c>
      <c r="D9" s="166">
        <v>2022.0</v>
      </c>
      <c r="E9" s="170" t="s">
        <v>359</v>
      </c>
      <c r="F9" s="112" t="s">
        <v>323</v>
      </c>
      <c r="G9" s="173"/>
      <c r="H9" s="166">
        <v>14.0</v>
      </c>
      <c r="I9" s="169"/>
      <c r="J9" s="169"/>
      <c r="K9" s="169"/>
      <c r="L9" s="169"/>
    </row>
    <row r="10" ht="12.75" customHeight="1">
      <c r="A10" s="117" t="s">
        <v>49</v>
      </c>
      <c r="B10" s="172" t="s">
        <v>24</v>
      </c>
      <c r="C10" s="166">
        <v>4.0</v>
      </c>
      <c r="D10" s="166">
        <v>2021.0</v>
      </c>
      <c r="E10" s="170" t="s">
        <v>359</v>
      </c>
      <c r="F10" s="112" t="s">
        <v>323</v>
      </c>
      <c r="G10" s="173" t="s">
        <v>129</v>
      </c>
      <c r="H10" s="166">
        <v>4.0</v>
      </c>
      <c r="I10" s="169"/>
      <c r="J10" s="169"/>
      <c r="K10" s="169"/>
      <c r="L10" s="169"/>
    </row>
    <row r="11" ht="12.75" customHeight="1">
      <c r="A11" s="117"/>
      <c r="B11" s="172"/>
      <c r="C11" s="170"/>
      <c r="D11" s="170"/>
      <c r="E11" s="170"/>
      <c r="F11" s="105"/>
      <c r="G11" s="174"/>
      <c r="H11" s="170"/>
      <c r="I11" s="169"/>
      <c r="J11" s="169"/>
      <c r="K11" s="169"/>
      <c r="L11" s="169"/>
    </row>
    <row r="12" ht="12.75" customHeight="1">
      <c r="A12" s="123" t="s">
        <v>360</v>
      </c>
      <c r="B12" s="175" t="s">
        <v>63</v>
      </c>
      <c r="C12" s="166">
        <v>45.0</v>
      </c>
      <c r="D12" s="166">
        <v>2021.0</v>
      </c>
      <c r="E12" s="167" t="str">
        <f>IFS('Andrew M'!G12="1 year ext.", "1 of 1 years (ext.)", 'Andrew M'!G12="2 year ext.", "1 of 2 years (ext.)", 'Andrew M'!G12="3 year ext.", "1 of 3 years (ext.)", 'Andrew M'!G12="Releasing","2 of 2 years")</f>
        <v>1 of 2 years (ext.)</v>
      </c>
      <c r="F12" s="112" t="s">
        <v>320</v>
      </c>
      <c r="G12" s="168" t="s">
        <v>328</v>
      </c>
      <c r="H12" s="166">
        <v>45.0</v>
      </c>
      <c r="I12" s="110">
        <f>IFS('Andrew M'!G12="1 year ext.", 'Andrew M'!C12+5, 'Andrew M'!G12="2 year ext.", 'Andrew M'!C12+5, 'Andrew M'!G12="3 year ext.", 'Andrew M'!C12+5, 'Andrew M'!G12="Releasing","0")</f>
        <v>50</v>
      </c>
      <c r="J12" s="110">
        <f>IFS('Andrew M'!G12="1 year ext.", "0", 'Andrew M'!G12="2 year ext.", 'Andrew M'!C12+10, 'Andrew M'!G12="3 year ext.", 'Andrew M'!C12+10, 'Andrew M'!H12="Releasing","0")</f>
        <v>55</v>
      </c>
      <c r="K12" s="110" t="str">
        <f>IFS('Andrew M'!G12="1 year ext.", "0", 'Andrew M'!G12="2 year ext.", "0", 'Andrew M'!G12="3 year ext.", 'Andrew M'!C12+15, 'Andrew M'!G12="Releasing","0")</f>
        <v>0</v>
      </c>
      <c r="L12" s="169"/>
    </row>
    <row r="13" ht="12.75" customHeight="1">
      <c r="A13" s="125" t="s">
        <v>361</v>
      </c>
      <c r="B13" s="176" t="s">
        <v>63</v>
      </c>
      <c r="C13" s="166">
        <v>15.0</v>
      </c>
      <c r="D13" s="166">
        <v>2021.0</v>
      </c>
      <c r="E13" s="167" t="str">
        <f>IFS('Andrew M'!G13="1 year ext.", "1 of 1 years (ext.)", 'Andrew M'!G13="2 year ext.", "1 of 2 years (ext.)", 'Andrew M'!G13="3 year ext.", "1 of 3 years (ext.)", 'Andrew M'!G13="Releasing","2 of 2 years")</f>
        <v>2 of 2 years</v>
      </c>
      <c r="F13" s="112" t="s">
        <v>320</v>
      </c>
      <c r="G13" s="168" t="s">
        <v>326</v>
      </c>
      <c r="H13" s="166">
        <v>15.0</v>
      </c>
      <c r="I13" s="110" t="str">
        <f>IFS('Andrew M'!G13="1 year ext.", 'Andrew M'!C13+5, 'Andrew M'!G13="2 year ext.", 'Andrew M'!C13+5, 'Andrew M'!G13="3 year ext.", 'Andrew M'!C13+5, 'Andrew M'!G13="Releasing","0")</f>
        <v>0</v>
      </c>
      <c r="J13" s="110" t="str">
        <f>IFS('Andrew M'!G13="1 year ext.", "0", 'Andrew M'!G13="2 year ext.", 'Andrew M'!C13+10, 'Andrew M'!G13="3 year ext.", 'Andrew M'!C13+10, 'Andrew M'!H13="Releasing","0")</f>
        <v>#N/A</v>
      </c>
      <c r="K13" s="110" t="str">
        <f>IFS('Andrew M'!G13="1 year ext.", "0", 'Andrew M'!G13="2 year ext.", "0", 'Andrew M'!G13="3 year ext.", 'Andrew M'!C13+15, 'Andrew M'!G13="Releasing","0")</f>
        <v>0</v>
      </c>
      <c r="L13" s="169"/>
    </row>
    <row r="14" ht="12.75" customHeight="1">
      <c r="A14" s="125" t="s">
        <v>362</v>
      </c>
      <c r="B14" s="176" t="s">
        <v>63</v>
      </c>
      <c r="C14" s="166">
        <v>7.0</v>
      </c>
      <c r="D14" s="166">
        <v>2021.0</v>
      </c>
      <c r="E14" s="167" t="str">
        <f>IFS('Andrew M'!G14="1 year ext.", "1 of 1 years (ext.)", 'Andrew M'!G14="2 year ext.", "1 of 2 years (ext.)", 'Andrew M'!G14="3 year ext.", "1 of 3 years (ext.)", 'Andrew M'!G14="Releasing","2 of 2 years")</f>
        <v>2 of 2 years</v>
      </c>
      <c r="F14" s="112" t="s">
        <v>320</v>
      </c>
      <c r="G14" s="168" t="s">
        <v>326</v>
      </c>
      <c r="H14" s="166">
        <v>7.0</v>
      </c>
      <c r="I14" s="110" t="str">
        <f>IFS('Andrew M'!G14="1 year ext.", 'Andrew M'!C14+5, 'Andrew M'!G14="2 year ext.", 'Andrew M'!C14+5, 'Andrew M'!G14="3 year ext.", 'Andrew M'!C14+5, 'Andrew M'!G14="Releasing","0")</f>
        <v>0</v>
      </c>
      <c r="J14" s="110" t="str">
        <f>IFS('Andrew M'!G14="1 year ext.", "0", 'Andrew M'!G14="2 year ext.", 'Andrew M'!C14+10, 'Andrew M'!G14="3 year ext.", 'Andrew M'!C14+10, 'Andrew M'!H14="Releasing","0")</f>
        <v>#N/A</v>
      </c>
      <c r="K14" s="110" t="str">
        <f>IFS('Andrew M'!G14="1 year ext.", "0", 'Andrew M'!G14="2 year ext.", "0", 'Andrew M'!G14="3 year ext.", 'Andrew M'!C14+15, 'Andrew M'!G14="Releasing","0")</f>
        <v>0</v>
      </c>
      <c r="L14" s="169"/>
    </row>
    <row r="15" ht="12.75" customHeight="1">
      <c r="A15" s="125" t="s">
        <v>363</v>
      </c>
      <c r="B15" s="176" t="s">
        <v>63</v>
      </c>
      <c r="C15" s="166">
        <v>3.0</v>
      </c>
      <c r="D15" s="166">
        <v>2021.0</v>
      </c>
      <c r="E15" s="167" t="str">
        <f>IFS('Andrew M'!G15="1 year ext.", "1 of 1 years (ext.)", 'Andrew M'!G15="2 year ext.", "1 of 2 years (ext.)", 'Andrew M'!G15="3 year ext.", "1 of 3 years (ext.)", 'Andrew M'!G15="Releasing","2 of 2 years")</f>
        <v>2 of 2 years</v>
      </c>
      <c r="F15" s="112" t="s">
        <v>320</v>
      </c>
      <c r="G15" s="168" t="s">
        <v>326</v>
      </c>
      <c r="H15" s="166">
        <v>3.0</v>
      </c>
      <c r="I15" s="110" t="str">
        <f>IFS('Andrew M'!G15="1 year ext.", 'Andrew M'!C15+5, 'Andrew M'!G15="2 year ext.", 'Andrew M'!C15+5, 'Andrew M'!G15="3 year ext.", 'Andrew M'!C15+5, 'Andrew M'!G15="Releasing","0")</f>
        <v>0</v>
      </c>
      <c r="J15" s="110" t="str">
        <f>IFS('Andrew M'!G15="1 year ext.", "0", 'Andrew M'!G15="2 year ext.", 'Andrew M'!C15+10, 'Andrew M'!G15="3 year ext.", 'Andrew M'!C15+10, 'Andrew M'!H15="Releasing","0")</f>
        <v>#N/A</v>
      </c>
      <c r="K15" s="110" t="str">
        <f>IFS('Andrew M'!G15="1 year ext.", "0", 'Andrew M'!G15="2 year ext.", "0", 'Andrew M'!G15="3 year ext.", 'Andrew M'!C15+15, 'Andrew M'!G15="Releasing","0")</f>
        <v>0</v>
      </c>
      <c r="L15" s="169"/>
    </row>
    <row r="16" ht="12.75" customHeight="1">
      <c r="A16" s="123" t="s">
        <v>364</v>
      </c>
      <c r="B16" s="176" t="s">
        <v>63</v>
      </c>
      <c r="C16" s="166">
        <v>18.0</v>
      </c>
      <c r="D16" s="166">
        <v>2022.0</v>
      </c>
      <c r="E16" s="170" t="s">
        <v>359</v>
      </c>
      <c r="F16" s="112" t="s">
        <v>323</v>
      </c>
      <c r="G16" s="173"/>
      <c r="H16" s="166">
        <v>18.0</v>
      </c>
      <c r="I16" s="169"/>
      <c r="J16" s="169"/>
      <c r="K16" s="169"/>
      <c r="L16" s="169"/>
    </row>
    <row r="17" ht="12.75" customHeight="1">
      <c r="A17" s="125" t="s">
        <v>365</v>
      </c>
      <c r="B17" s="176" t="s">
        <v>63</v>
      </c>
      <c r="C17" s="166">
        <v>1.0</v>
      </c>
      <c r="D17" s="166">
        <v>2021.0</v>
      </c>
      <c r="E17" s="167" t="str">
        <f>IFS('Andrew M'!G17="1 year ext.", "1 of 1 years (ext.)", 'Andrew M'!G17="2 year ext.", "1 of 2 years (ext.)", 'Andrew M'!G17="3 year ext.", "1 of 3 years (ext.)", 'Andrew M'!G17="Releasing","2 of 2 years")</f>
        <v>2 of 2 years</v>
      </c>
      <c r="F17" s="112" t="s">
        <v>320</v>
      </c>
      <c r="G17" s="168" t="s">
        <v>326</v>
      </c>
      <c r="H17" s="166">
        <v>1.0</v>
      </c>
      <c r="I17" s="110" t="str">
        <f>IFS('Andrew M'!G17="1 year ext.", 'Andrew M'!C17+5, 'Andrew M'!G17="2 year ext.", 'Andrew M'!C17+5, 'Andrew M'!G17="3 year ext.", 'Andrew M'!C17+5, 'Andrew M'!G17="Releasing","0")</f>
        <v>0</v>
      </c>
      <c r="J17" s="110" t="str">
        <f>IFS('Andrew M'!G17="1 year ext.", "0", 'Andrew M'!G17="2 year ext.", 'Andrew M'!C17+10, 'Andrew M'!G17="3 year ext.", 'Andrew M'!C17+10, 'Andrew M'!H17="Releasing","0")</f>
        <v>#N/A</v>
      </c>
      <c r="K17" s="110" t="str">
        <f>IFS('Andrew M'!G17="1 year ext.", "0", 'Andrew M'!G17="2 year ext.", "0", 'Andrew M'!G17="3 year ext.", 'Andrew M'!C17+15, 'Andrew M'!G17="Releasing","0")</f>
        <v>0</v>
      </c>
      <c r="L17" s="169"/>
    </row>
    <row r="18" ht="12.75" customHeight="1">
      <c r="A18" s="125" t="s">
        <v>346</v>
      </c>
      <c r="B18" s="176" t="s">
        <v>63</v>
      </c>
      <c r="C18" s="166">
        <v>1.0</v>
      </c>
      <c r="D18" s="166">
        <v>2021.0</v>
      </c>
      <c r="E18" s="167" t="str">
        <f>IFS('Andrew M'!G18="1 year ext.", "1 of 1 years (ext.)", 'Andrew M'!G18="2 year ext.", "1 of 2 years (ext.)", 'Andrew M'!G18="3 year ext.", "1 of 3 years (ext.)", 'Andrew M'!G18="Releasing","2 of 2 years")</f>
        <v>2 of 2 years</v>
      </c>
      <c r="F18" s="112" t="s">
        <v>320</v>
      </c>
      <c r="G18" s="168" t="s">
        <v>326</v>
      </c>
      <c r="H18" s="166">
        <v>1.0</v>
      </c>
      <c r="I18" s="110" t="str">
        <f>IFS('Andrew M'!G18="1 year ext.", 'Andrew M'!C18+5, 'Andrew M'!G18="2 year ext.", 'Andrew M'!C18+5, 'Andrew M'!G18="3 year ext.", 'Andrew M'!C18+5, 'Andrew M'!G18="Releasing","0")</f>
        <v>0</v>
      </c>
      <c r="J18" s="110" t="str">
        <f>IFS('Andrew M'!G18="1 year ext.", "0", 'Andrew M'!G18="2 year ext.", 'Andrew M'!C18+10, 'Andrew M'!G18="3 year ext.", 'Andrew M'!C18+10, 'Andrew M'!H18="Releasing","0")</f>
        <v>#N/A</v>
      </c>
      <c r="K18" s="110" t="str">
        <f>IFS('Andrew M'!G18="1 year ext.", "0", 'Andrew M'!G18="2 year ext.", "0", 'Andrew M'!G18="3 year ext.", 'Andrew M'!C18+15, 'Andrew M'!G18="Releasing","0")</f>
        <v>0</v>
      </c>
      <c r="L18" s="169"/>
    </row>
    <row r="19" ht="12.75" customHeight="1">
      <c r="A19" s="125" t="s">
        <v>366</v>
      </c>
      <c r="B19" s="176" t="s">
        <v>63</v>
      </c>
      <c r="C19" s="166">
        <v>6.0</v>
      </c>
      <c r="D19" s="166">
        <v>2022.0</v>
      </c>
      <c r="E19" s="170" t="s">
        <v>359</v>
      </c>
      <c r="F19" s="112" t="s">
        <v>323</v>
      </c>
      <c r="G19" s="171"/>
      <c r="H19" s="166">
        <v>6.0</v>
      </c>
      <c r="I19" s="169"/>
      <c r="J19" s="169"/>
      <c r="K19" s="169"/>
      <c r="L19" s="169"/>
    </row>
    <row r="20" ht="12.75" customHeight="1">
      <c r="A20" s="125"/>
      <c r="B20" s="176"/>
      <c r="C20" s="170"/>
      <c r="D20" s="170"/>
      <c r="E20" s="170"/>
      <c r="F20" s="105"/>
      <c r="G20" s="171"/>
      <c r="H20" s="170"/>
      <c r="I20" s="169"/>
      <c r="J20" s="169"/>
      <c r="K20" s="169"/>
      <c r="L20" s="169"/>
    </row>
    <row r="21" ht="12.75" customHeight="1">
      <c r="A21" s="131" t="s">
        <v>367</v>
      </c>
      <c r="B21" s="177" t="s">
        <v>111</v>
      </c>
      <c r="C21" s="166">
        <v>21.0</v>
      </c>
      <c r="D21" s="166">
        <v>2021.0</v>
      </c>
      <c r="E21" s="167" t="str">
        <f>IFS('Andrew M'!G21="1 year ext.", "1 of 1 years (ext.)", 'Andrew M'!G21="2 year ext.", "1 of 2 years (ext.)", 'Andrew M'!G21="3 year ext.", "1 of 3 years (ext.)", 'Andrew M'!G21="Releasing","2 of 2 years")</f>
        <v>1 of 1 years (ext.)</v>
      </c>
      <c r="F21" s="112" t="s">
        <v>320</v>
      </c>
      <c r="G21" s="168" t="s">
        <v>321</v>
      </c>
      <c r="H21" s="166">
        <v>21.0</v>
      </c>
      <c r="I21" s="110">
        <f>IFS('Andrew M'!G21="1 year ext.", 'Andrew M'!C21+5, 'Andrew M'!G21="2 year ext.", 'Andrew M'!C21+5, 'Andrew M'!G21="3 year ext.", 'Andrew M'!C21+5, 'Andrew M'!G21="Releasing","0")</f>
        <v>26</v>
      </c>
      <c r="J21" s="110" t="str">
        <f>IFS('Andrew M'!G21="1 year ext.", "0", 'Andrew M'!G21="2 year ext.", 'Andrew M'!C21+10, 'Andrew M'!G21="3 year ext.", 'Andrew M'!C21+10, 'Andrew M'!H21="Releasing","0")</f>
        <v>0</v>
      </c>
      <c r="K21" s="110" t="str">
        <f>IFS('Andrew M'!G21="1 year ext.", "0", 'Andrew M'!G21="2 year ext.", "0", 'Andrew M'!G21="3 year ext.", 'Andrew M'!C21+15, 'Andrew M'!G21="Releasing","0")</f>
        <v>0</v>
      </c>
      <c r="L21" s="169"/>
    </row>
    <row r="22" ht="12.75" customHeight="1">
      <c r="A22" s="178" t="s">
        <v>368</v>
      </c>
      <c r="B22" s="177" t="s">
        <v>111</v>
      </c>
      <c r="C22" s="166">
        <v>2.0</v>
      </c>
      <c r="D22" s="166">
        <v>2022.0</v>
      </c>
      <c r="E22" s="170" t="s">
        <v>359</v>
      </c>
      <c r="F22" s="112" t="s">
        <v>323</v>
      </c>
      <c r="G22" s="171"/>
      <c r="H22" s="166">
        <v>2.0</v>
      </c>
      <c r="I22" s="169"/>
      <c r="J22" s="169"/>
      <c r="K22" s="169"/>
      <c r="L22" s="169"/>
    </row>
    <row r="23" ht="12.75" customHeight="1">
      <c r="A23" s="131"/>
      <c r="B23" s="177"/>
      <c r="C23" s="170"/>
      <c r="D23" s="170"/>
      <c r="E23" s="170"/>
      <c r="F23" s="105"/>
      <c r="G23" s="171" t="s">
        <v>129</v>
      </c>
      <c r="H23" s="170"/>
      <c r="I23" s="169"/>
      <c r="J23" s="169"/>
      <c r="K23" s="169"/>
      <c r="L23" s="169"/>
    </row>
    <row r="24" ht="12.75" customHeight="1">
      <c r="A24" s="133" t="s">
        <v>369</v>
      </c>
      <c r="B24" s="179" t="s">
        <v>124</v>
      </c>
      <c r="C24" s="166">
        <v>1.0</v>
      </c>
      <c r="D24" s="166">
        <v>2021.0</v>
      </c>
      <c r="E24" s="167" t="str">
        <f>IFS('Andrew M'!G24="1 year ext.", "1 of 1 years (ext.)", 'Andrew M'!G24="2 year ext.", "1 of 2 years (ext.)", 'Andrew M'!G24="3 year ext.", "1 of 3 years (ext.)", 'Andrew M'!G24="Releasing","2 of 2 years")</f>
        <v>2 of 2 years</v>
      </c>
      <c r="F24" s="112" t="s">
        <v>320</v>
      </c>
      <c r="G24" s="168" t="s">
        <v>326</v>
      </c>
      <c r="H24" s="166">
        <v>1.0</v>
      </c>
      <c r="I24" s="110" t="str">
        <f>IFS('Andrew M'!G24="1 year ext.", 'Andrew M'!C24+5, 'Andrew M'!G24="2 year ext.", 'Andrew M'!C24+5, 'Andrew M'!G24="3 year ext.", 'Andrew M'!C24+5, 'Andrew M'!G24="Releasing","0")</f>
        <v>0</v>
      </c>
      <c r="J24" s="110" t="str">
        <f>IFS('Andrew M'!G24="1 year ext.", "0", 'Andrew M'!G24="2 year ext.", 'Andrew M'!C24+10, 'Andrew M'!G24="3 year ext.", 'Andrew M'!C24+10, 'Andrew M'!H24="Releasing","0")</f>
        <v>#N/A</v>
      </c>
      <c r="K24" s="110" t="str">
        <f>IFS('Andrew M'!G24="1 year ext.", "0", 'Andrew M'!G24="2 year ext.", "0", 'Andrew M'!G24="3 year ext.", 'Andrew M'!C24+15, 'Andrew M'!G24="Releasing","0")</f>
        <v>0</v>
      </c>
      <c r="L24" s="169"/>
    </row>
    <row r="25" ht="12.75" customHeight="1">
      <c r="A25" s="133"/>
      <c r="B25" s="179"/>
      <c r="C25" s="170"/>
      <c r="D25" s="170"/>
      <c r="E25" s="170"/>
      <c r="F25" s="105"/>
      <c r="G25" s="171"/>
      <c r="H25" s="170"/>
      <c r="I25" s="169"/>
      <c r="J25" s="169"/>
      <c r="K25" s="169"/>
      <c r="L25" s="169"/>
    </row>
    <row r="26" ht="12.75" customHeight="1">
      <c r="A26" s="135"/>
      <c r="B26" s="180" t="s">
        <v>370</v>
      </c>
      <c r="C26" s="170"/>
      <c r="D26" s="170"/>
      <c r="E26" s="170"/>
      <c r="F26" s="105"/>
      <c r="G26" s="171"/>
      <c r="H26" s="170"/>
      <c r="I26" s="169"/>
      <c r="J26" s="169"/>
      <c r="K26" s="169"/>
      <c r="L26" s="169"/>
    </row>
    <row r="27" ht="12.75" customHeight="1">
      <c r="A27" s="135"/>
      <c r="B27" s="180"/>
      <c r="C27" s="170"/>
      <c r="D27" s="170"/>
      <c r="E27" s="170"/>
      <c r="F27" s="105"/>
      <c r="G27" s="171" t="s">
        <v>371</v>
      </c>
      <c r="H27" s="170"/>
      <c r="I27" s="169"/>
      <c r="J27" s="169"/>
      <c r="K27" s="169"/>
      <c r="L27" s="169"/>
    </row>
    <row r="28" ht="12.75" customHeight="1">
      <c r="A28" s="135"/>
      <c r="B28" s="180"/>
      <c r="C28" s="170"/>
      <c r="D28" s="170"/>
      <c r="E28" s="170"/>
      <c r="F28" s="105"/>
      <c r="G28" s="171" t="s">
        <v>129</v>
      </c>
      <c r="H28" s="170"/>
      <c r="I28" s="169"/>
      <c r="J28" s="169"/>
      <c r="K28" s="169"/>
      <c r="L28" s="169"/>
    </row>
    <row r="29" ht="12.75" customHeight="1">
      <c r="A29" s="140" t="s">
        <v>341</v>
      </c>
      <c r="B29" s="141"/>
      <c r="C29" s="141"/>
      <c r="D29" s="141"/>
      <c r="E29" s="141"/>
      <c r="F29" s="141"/>
      <c r="G29" s="181"/>
      <c r="H29" s="141"/>
      <c r="I29" s="182"/>
      <c r="J29" s="182"/>
      <c r="K29" s="182"/>
      <c r="L29" s="182"/>
    </row>
    <row r="30" ht="12.75" customHeight="1">
      <c r="A30" s="146" t="s">
        <v>372</v>
      </c>
      <c r="B30" s="147"/>
      <c r="C30" s="148"/>
      <c r="D30" s="148">
        <v>2021.0</v>
      </c>
      <c r="E30" s="141" t="s">
        <v>343</v>
      </c>
      <c r="F30" s="141"/>
      <c r="G30" s="183" t="s">
        <v>129</v>
      </c>
      <c r="H30" s="148">
        <v>2.0</v>
      </c>
      <c r="I30" s="182"/>
      <c r="J30" s="182"/>
      <c r="K30" s="182"/>
      <c r="L30" s="182"/>
    </row>
    <row r="31" ht="12.75" customHeight="1">
      <c r="A31" s="146" t="s">
        <v>148</v>
      </c>
      <c r="B31" s="147"/>
      <c r="C31" s="148"/>
      <c r="D31" s="148">
        <v>2021.0</v>
      </c>
      <c r="E31" s="141" t="s">
        <v>343</v>
      </c>
      <c r="F31" s="141"/>
      <c r="G31" s="181" t="s">
        <v>129</v>
      </c>
      <c r="H31" s="148">
        <v>1.0</v>
      </c>
      <c r="I31" s="182"/>
      <c r="J31" s="182"/>
      <c r="K31" s="182"/>
      <c r="L31" s="182"/>
    </row>
    <row r="32" ht="12.75" customHeight="1">
      <c r="A32" s="146" t="s">
        <v>153</v>
      </c>
      <c r="B32" s="147"/>
      <c r="C32" s="148"/>
      <c r="D32" s="148">
        <v>2021.0</v>
      </c>
      <c r="E32" s="141" t="s">
        <v>343</v>
      </c>
      <c r="F32" s="141"/>
      <c r="G32" s="181" t="s">
        <v>129</v>
      </c>
      <c r="H32" s="148">
        <v>1.0</v>
      </c>
      <c r="I32" s="182"/>
      <c r="J32" s="182"/>
      <c r="K32" s="182"/>
      <c r="L32" s="182"/>
    </row>
    <row r="33" ht="12.75" customHeight="1">
      <c r="A33" s="146" t="s">
        <v>158</v>
      </c>
      <c r="B33" s="147"/>
      <c r="C33" s="148"/>
      <c r="D33" s="148">
        <v>2021.0</v>
      </c>
      <c r="E33" s="141" t="s">
        <v>343</v>
      </c>
      <c r="F33" s="141"/>
      <c r="G33" s="181" t="s">
        <v>129</v>
      </c>
      <c r="H33" s="148">
        <v>1.0</v>
      </c>
      <c r="I33" s="182"/>
      <c r="J33" s="182"/>
      <c r="K33" s="182"/>
      <c r="L33" s="182"/>
    </row>
    <row r="34" ht="12.75" customHeight="1">
      <c r="A34" s="146" t="s">
        <v>373</v>
      </c>
      <c r="B34" s="147"/>
      <c r="C34" s="148"/>
      <c r="D34" s="148">
        <v>2021.0</v>
      </c>
      <c r="E34" s="141" t="s">
        <v>343</v>
      </c>
      <c r="F34" s="141"/>
      <c r="G34" s="181" t="s">
        <v>129</v>
      </c>
      <c r="H34" s="148">
        <v>1.0</v>
      </c>
      <c r="I34" s="182"/>
      <c r="J34" s="182"/>
      <c r="K34" s="182"/>
      <c r="L34" s="182"/>
    </row>
    <row r="35" ht="12.75" customHeight="1">
      <c r="A35" s="146" t="s">
        <v>374</v>
      </c>
      <c r="B35" s="147"/>
      <c r="C35" s="148"/>
      <c r="D35" s="148">
        <v>2021.0</v>
      </c>
      <c r="E35" s="141" t="s">
        <v>343</v>
      </c>
      <c r="F35" s="141"/>
      <c r="G35" s="184"/>
      <c r="H35" s="148">
        <v>1.0</v>
      </c>
      <c r="I35" s="182"/>
      <c r="J35" s="182"/>
      <c r="K35" s="182"/>
      <c r="L35" s="182"/>
    </row>
    <row r="36" ht="12.75" customHeight="1">
      <c r="A36" s="146" t="s">
        <v>170</v>
      </c>
      <c r="B36" s="147"/>
      <c r="C36" s="148"/>
      <c r="D36" s="148">
        <v>2021.0</v>
      </c>
      <c r="E36" s="141" t="s">
        <v>343</v>
      </c>
      <c r="F36" s="141"/>
      <c r="G36" s="184"/>
      <c r="H36" s="148">
        <v>1.0</v>
      </c>
      <c r="I36" s="182"/>
      <c r="J36" s="182"/>
      <c r="K36" s="182"/>
      <c r="L36" s="182"/>
    </row>
    <row r="37" ht="12.75" customHeight="1">
      <c r="A37" s="146" t="s">
        <v>375</v>
      </c>
      <c r="B37" s="147"/>
      <c r="C37" s="148"/>
      <c r="D37" s="148">
        <v>2021.0</v>
      </c>
      <c r="E37" s="141" t="s">
        <v>343</v>
      </c>
      <c r="F37" s="141"/>
      <c r="G37" s="184"/>
      <c r="H37" s="148">
        <v>1.0</v>
      </c>
      <c r="I37" s="182"/>
      <c r="J37" s="182"/>
      <c r="K37" s="182"/>
      <c r="L37" s="182"/>
    </row>
    <row r="38" ht="12.75" customHeight="1">
      <c r="A38" s="185"/>
      <c r="B38" s="98"/>
      <c r="C38" s="186"/>
      <c r="D38" s="98"/>
      <c r="E38" s="98"/>
      <c r="F38" s="98"/>
      <c r="H38" s="187"/>
      <c r="I38" s="187"/>
      <c r="J38" s="187"/>
      <c r="K38" s="187"/>
      <c r="L38" s="188"/>
    </row>
    <row r="39" ht="12.75" customHeight="1">
      <c r="A39" s="153" t="s">
        <v>349</v>
      </c>
      <c r="B39" s="153"/>
      <c r="C39" s="154">
        <f>SUM('Andrew M'!C3:C37)</f>
        <v>231</v>
      </c>
      <c r="D39" s="153"/>
      <c r="E39" s="153"/>
      <c r="F39" s="153"/>
      <c r="G39" s="158"/>
      <c r="H39" s="154">
        <f>SUM('Andrew M'!H3:H37)</f>
        <v>240</v>
      </c>
      <c r="I39" s="154">
        <f>SUM('Andrew M'!I3:I37)</f>
        <v>82</v>
      </c>
      <c r="J39" s="154" t="str">
        <f>SUM('Andrew M'!J3:J37)</f>
        <v>#N/A</v>
      </c>
      <c r="K39" s="154">
        <f>SUM('Andrew M'!K3:K37)</f>
        <v>16</v>
      </c>
      <c r="L39" s="158"/>
    </row>
    <row r="40" ht="12.75" customHeight="1">
      <c r="A40" s="159" t="s">
        <v>350</v>
      </c>
      <c r="B40" s="159"/>
      <c r="C40" s="189">
        <f>(250-'Andrew M'!C39)</f>
        <v>19</v>
      </c>
      <c r="D40" s="159"/>
      <c r="E40" s="159"/>
      <c r="F40" s="159"/>
      <c r="G40" s="162"/>
      <c r="H40" s="189">
        <f>(250-'Andrew M'!H39)</f>
        <v>10</v>
      </c>
      <c r="I40" s="189">
        <f>(250-'Andrew M'!I39)</f>
        <v>168</v>
      </c>
      <c r="J40" s="189" t="str">
        <f>(250-'Andrew M'!J39)</f>
        <v>#N/A</v>
      </c>
      <c r="K40" s="189">
        <f>(250-'Andrew M'!K39)</f>
        <v>234</v>
      </c>
      <c r="L40" s="162"/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G3:G4 G6:G8 G12:G15 G17:G18 G21 G24">
      <formula1>"1 year ext.,2 year ext.,3 year ext.,Releasing"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7" width="19.86"/>
    <col customWidth="1" min="8" max="12" width="16.71"/>
    <col customWidth="1" min="13" max="32" width="8.86"/>
  </cols>
  <sheetData>
    <row r="1" ht="12.75" customHeight="1">
      <c r="A1" s="97" t="s">
        <v>2</v>
      </c>
      <c r="B1" s="97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ht="12.75" customHeight="1">
      <c r="A2" s="100" t="s">
        <v>7</v>
      </c>
      <c r="B2" s="101" t="s">
        <v>308</v>
      </c>
      <c r="C2" s="101" t="s">
        <v>351</v>
      </c>
      <c r="D2" s="101" t="s">
        <v>310</v>
      </c>
      <c r="E2" s="101" t="s">
        <v>352</v>
      </c>
      <c r="F2" s="163" t="s">
        <v>312</v>
      </c>
      <c r="G2" s="164" t="s">
        <v>313</v>
      </c>
      <c r="H2" s="164" t="s">
        <v>314</v>
      </c>
      <c r="I2" s="190" t="s">
        <v>315</v>
      </c>
      <c r="J2" s="190" t="s">
        <v>316</v>
      </c>
      <c r="K2" s="190" t="s">
        <v>317</v>
      </c>
      <c r="L2" s="191" t="s">
        <v>318</v>
      </c>
    </row>
    <row r="3" ht="12.75" customHeight="1">
      <c r="A3" s="103" t="s">
        <v>305</v>
      </c>
      <c r="B3" s="165" t="s">
        <v>9</v>
      </c>
      <c r="C3" s="192">
        <v>5.0</v>
      </c>
      <c r="D3" s="192">
        <v>2022.0</v>
      </c>
      <c r="E3" s="193" t="s">
        <v>343</v>
      </c>
      <c r="F3" s="112" t="s">
        <v>323</v>
      </c>
      <c r="G3" s="165"/>
      <c r="H3" s="194">
        <v>5.0</v>
      </c>
      <c r="I3" s="110">
        <v>5.0</v>
      </c>
      <c r="J3" s="113">
        <v>0.0</v>
      </c>
      <c r="K3" s="116"/>
      <c r="L3" s="195"/>
      <c r="M3" s="196" t="s">
        <v>129</v>
      </c>
    </row>
    <row r="4" ht="12.75" customHeight="1">
      <c r="A4" s="103" t="s">
        <v>376</v>
      </c>
      <c r="B4" s="165" t="s">
        <v>9</v>
      </c>
      <c r="C4" s="192">
        <v>17.0</v>
      </c>
      <c r="D4" s="192">
        <v>2021.0</v>
      </c>
      <c r="E4" s="170" t="str">
        <f>IFS('Caleb K'!G4="1 year ext.", "1 of 1 years (ext.)", 'Caleb K'!G4="2 year ext.", "1 of 2 years (ext.)", 'Caleb K'!G4="3 year ext.", "1 of 3 years (ext.)", 'Caleb K'!G4="Releasing","2 of 2 years")</f>
        <v>2 of 2 years</v>
      </c>
      <c r="F4" s="112" t="s">
        <v>320</v>
      </c>
      <c r="G4" s="168" t="s">
        <v>326</v>
      </c>
      <c r="H4" s="194">
        <v>17.0</v>
      </c>
      <c r="I4" s="197" t="str">
        <f>IFS('Caleb K'!G4="1 year ext.", 'Caleb K'!C4+5, 'Caleb K'!G4="2 year ext.", 'Caleb K'!C4+5, 'Caleb K'!G4="3 year ext.", 'Caleb K'!C4+5, 'Caleb K'!G4="Releasing","0")</f>
        <v>0</v>
      </c>
      <c r="J4" s="110" t="str">
        <f>IFS('Caleb K'!G4="1 year ext.", "0", 'Caleb K'!G4="2 year ext.", 'Caleb K'!C4+10, 'Caleb K'!G4="3 year ext.", 'Caleb K'!C4+10, 'Caleb K'!G4="Releasing","0")</f>
        <v>0</v>
      </c>
      <c r="K4" s="110" t="str">
        <f>IFS('Caleb K'!G4="1 year ext.", "0", 'Caleb K'!G4="2 year ext.", "0", 'Caleb K'!G4="3 year ext.", 'Caleb K'!C4+15, 'Caleb K'!G4="Releasing","0")</f>
        <v>0</v>
      </c>
      <c r="L4" s="195"/>
      <c r="M4" s="196"/>
    </row>
    <row r="5" ht="12.75" customHeight="1">
      <c r="A5" s="103" t="s">
        <v>377</v>
      </c>
      <c r="B5" s="165" t="s">
        <v>9</v>
      </c>
      <c r="C5" s="192">
        <v>3.0</v>
      </c>
      <c r="D5" s="192">
        <v>2021.0</v>
      </c>
      <c r="E5" s="170" t="str">
        <f>IFS('Caleb K'!G5="1 year ext.", "1 of 1 years (ext.)", 'Caleb K'!G5="2 year ext.", "1 of 2 years (ext.)", 'Caleb K'!G5="3 year ext.", "1 of 3 years (ext.)", 'Caleb K'!G5="Releasing","2 of 2 years")</f>
        <v>2 of 2 years</v>
      </c>
      <c r="F5" s="112" t="s">
        <v>320</v>
      </c>
      <c r="G5" s="168" t="s">
        <v>326</v>
      </c>
      <c r="H5" s="194">
        <v>3.0</v>
      </c>
      <c r="I5" s="197" t="str">
        <f>IFS('Caleb K'!G5="1 year ext.", 'Caleb K'!C5+5, 'Caleb K'!G5="2 year ext.", 'Caleb K'!C5+5, 'Caleb K'!G5="3 year ext.", 'Caleb K'!C5+5, 'Caleb K'!G5="Releasing","0")</f>
        <v>0</v>
      </c>
      <c r="J5" s="110" t="str">
        <f>IFS('Caleb K'!G5="1 year ext.", "0", 'Caleb K'!G5="2 year ext.", 'Caleb K'!C5+10, 'Caleb K'!G5="3 year ext.", 'Caleb K'!C5+10, 'Caleb K'!G5="Releasing","0")</f>
        <v>0</v>
      </c>
      <c r="K5" s="110" t="str">
        <f>IFS('Caleb K'!G5="1 year ext.", "0", 'Caleb K'!G5="2 year ext.", "0", 'Caleb K'!G5="3 year ext.", 'Caleb K'!C5+15, 'Caleb K'!G5="Releasing","0")</f>
        <v>0</v>
      </c>
      <c r="L5" s="198"/>
      <c r="M5" s="196" t="s">
        <v>129</v>
      </c>
    </row>
    <row r="6" ht="12.75" customHeight="1">
      <c r="A6" s="103" t="s">
        <v>378</v>
      </c>
      <c r="B6" s="165" t="s">
        <v>9</v>
      </c>
      <c r="C6" s="192">
        <v>2.0</v>
      </c>
      <c r="D6" s="192">
        <v>2021.0</v>
      </c>
      <c r="E6" s="170" t="str">
        <f>IFS('Caleb K'!G6="1 year ext.", "1 of 1 years (ext.)", 'Caleb K'!G6="2 year ext.", "1 of 2 years (ext.)", 'Caleb K'!G6="3 year ext.", "1 of 3 years (ext.)", 'Caleb K'!G6="Releasing","2 of 2 years")</f>
        <v>1 of 3 years (ext.)</v>
      </c>
      <c r="F6" s="112" t="s">
        <v>320</v>
      </c>
      <c r="G6" s="168" t="s">
        <v>331</v>
      </c>
      <c r="H6" s="194">
        <v>2.0</v>
      </c>
      <c r="I6" s="197">
        <f>IFS('Caleb K'!G6="1 year ext.", 'Caleb K'!C6+5, 'Caleb K'!G6="2 year ext.", 'Caleb K'!C6+5, 'Caleb K'!G6="3 year ext.", 'Caleb K'!C6+5, 'Caleb K'!G6="Releasing","0")</f>
        <v>7</v>
      </c>
      <c r="J6" s="110">
        <f>IFS('Caleb K'!G6="1 year ext.", "0", 'Caleb K'!G6="2 year ext.", 'Caleb K'!C6+10, 'Caleb K'!G6="3 year ext.", 'Caleb K'!C6+10, 'Caleb K'!H6="Releasing","0")</f>
        <v>12</v>
      </c>
      <c r="K6" s="110">
        <f>IFS('Caleb K'!G6="1 year ext.", "0", 'Caleb K'!G6="2 year ext.", "0", 'Caleb K'!G6="3 year ext.", 'Caleb K'!C6+15, 'Caleb K'!G6="Releasing","0")</f>
        <v>17</v>
      </c>
      <c r="L6" s="195"/>
      <c r="M6" s="199" t="s">
        <v>129</v>
      </c>
    </row>
    <row r="7" ht="12.75" customHeight="1">
      <c r="A7" s="117"/>
      <c r="B7" s="172"/>
      <c r="C7" s="172"/>
      <c r="D7" s="172"/>
      <c r="E7" s="170"/>
      <c r="F7" s="200"/>
      <c r="G7" s="200"/>
      <c r="H7" s="194"/>
      <c r="I7" s="201"/>
      <c r="J7" s="201"/>
      <c r="K7" s="201"/>
      <c r="L7" s="202"/>
      <c r="M7" s="196" t="s">
        <v>129</v>
      </c>
    </row>
    <row r="8" ht="12.75" customHeight="1">
      <c r="A8" s="117" t="s">
        <v>379</v>
      </c>
      <c r="B8" s="172" t="s">
        <v>24</v>
      </c>
      <c r="C8" s="203">
        <v>28.0</v>
      </c>
      <c r="D8" s="203">
        <v>2022.0</v>
      </c>
      <c r="E8" s="193" t="s">
        <v>343</v>
      </c>
      <c r="F8" s="112" t="s">
        <v>323</v>
      </c>
      <c r="G8" s="172"/>
      <c r="H8" s="194">
        <v>28.0</v>
      </c>
      <c r="I8" s="120">
        <v>28.0</v>
      </c>
      <c r="J8" s="201"/>
      <c r="K8" s="201"/>
      <c r="L8" s="202"/>
      <c r="M8" s="196" t="s">
        <v>371</v>
      </c>
    </row>
    <row r="9" ht="12.75" customHeight="1">
      <c r="A9" s="117" t="s">
        <v>380</v>
      </c>
      <c r="B9" s="172" t="s">
        <v>24</v>
      </c>
      <c r="C9" s="203">
        <v>3.0</v>
      </c>
      <c r="D9" s="203">
        <v>2021.0</v>
      </c>
      <c r="E9" s="170" t="str">
        <f>IFS('Caleb K'!G9="1 year ext.", "1 of 1 years (ext.)", 'Caleb K'!G9="2 year ext.", "1 of 2 years (ext.)", 'Caleb K'!G9="3 year ext.", "1 of 3 years (ext.)", 'Caleb K'!G9="Releasing","2 of 2 years")</f>
        <v>2 of 2 years</v>
      </c>
      <c r="F9" s="112" t="s">
        <v>320</v>
      </c>
      <c r="G9" s="168" t="s">
        <v>326</v>
      </c>
      <c r="H9" s="194">
        <v>3.0</v>
      </c>
      <c r="I9" s="197" t="str">
        <f>IFS('Caleb K'!G9="1 year ext.", 'Caleb K'!C9+5, 'Caleb K'!G9="2 year ext.", 'Caleb K'!C9+5, 'Caleb K'!G9="3 year ext.", 'Caleb K'!C9+5, 'Caleb K'!G9="Releasing","0")</f>
        <v>0</v>
      </c>
      <c r="J9" s="110" t="str">
        <f>IFS('Caleb K'!G9="1 year ext.", "0", 'Caleb K'!G9="2 year ext.", 'Caleb K'!C9+10, 'Caleb K'!G9="3 year ext.", 'Caleb K'!C9+10, 'Caleb K'!G9="Releasing","0")</f>
        <v>0</v>
      </c>
      <c r="K9" s="110" t="str">
        <f>IFS('Caleb K'!G9="1 year ext.", "0", 'Caleb K'!G9="2 year ext.", "0", 'Caleb K'!G9="3 year ext.", 'Caleb K'!C9+15, 'Caleb K'!G9="Releasing","0")</f>
        <v>0</v>
      </c>
      <c r="L9" s="202"/>
      <c r="M9" s="199"/>
    </row>
    <row r="10" ht="12.75" customHeight="1">
      <c r="A10" s="117" t="s">
        <v>381</v>
      </c>
      <c r="B10" s="172" t="s">
        <v>24</v>
      </c>
      <c r="C10" s="203">
        <v>2.0</v>
      </c>
      <c r="D10" s="203">
        <v>2021.0</v>
      </c>
      <c r="E10" s="170" t="str">
        <f>IFS('Caleb K'!G10="1 year ext.", "1 of 1 years (ext.)", 'Caleb K'!G10="2 year ext.", "1 of 2 years (ext.)", 'Caleb K'!G10="3 year ext.", "1 of 3 years (ext.)", 'Caleb K'!G10="Releasing","2 of 2 years")</f>
        <v>2 of 2 years</v>
      </c>
      <c r="F10" s="112" t="s">
        <v>320</v>
      </c>
      <c r="G10" s="168" t="s">
        <v>326</v>
      </c>
      <c r="H10" s="194">
        <v>2.0</v>
      </c>
      <c r="I10" s="197" t="str">
        <f>IFS('Caleb K'!G10="1 year ext.", 'Caleb K'!C10+5, 'Caleb K'!G10="2 year ext.", 'Caleb K'!C10+5, 'Caleb K'!G10="3 year ext.", 'Caleb K'!C10+5, 'Caleb K'!G10="Releasing","0")</f>
        <v>0</v>
      </c>
      <c r="J10" s="110" t="str">
        <f>IFS('Caleb K'!G10="1 year ext.", "0", 'Caleb K'!G10="2 year ext.", 'Caleb K'!C10+10, 'Caleb K'!G10="3 year ext.", 'Caleb K'!C10+10, 'Caleb K'!G10="Releasing","0")</f>
        <v>0</v>
      </c>
      <c r="K10" s="110" t="str">
        <f>IFS('Caleb K'!G10="1 year ext.", "0", 'Caleb K'!G10="2 year ext.", "0", 'Caleb K'!G10="3 year ext.", 'Caleb K'!C10+15, 'Caleb K'!G10="Releasing","0")</f>
        <v>0</v>
      </c>
      <c r="L10" s="202"/>
      <c r="M10" s="199" t="s">
        <v>129</v>
      </c>
    </row>
    <row r="11" ht="12.75" customHeight="1">
      <c r="A11" s="117" t="s">
        <v>50</v>
      </c>
      <c r="B11" s="172" t="s">
        <v>24</v>
      </c>
      <c r="C11" s="203">
        <v>29.0</v>
      </c>
      <c r="D11" s="203">
        <v>2022.0</v>
      </c>
      <c r="E11" s="193" t="s">
        <v>343</v>
      </c>
      <c r="F11" s="112" t="s">
        <v>323</v>
      </c>
      <c r="G11" s="172"/>
      <c r="H11" s="194">
        <v>29.0</v>
      </c>
      <c r="I11" s="120">
        <v>29.0</v>
      </c>
      <c r="J11" s="201"/>
      <c r="K11" s="201"/>
      <c r="L11" s="204"/>
    </row>
    <row r="12" ht="12.75" customHeight="1">
      <c r="A12" s="117" t="s">
        <v>382</v>
      </c>
      <c r="B12" s="172" t="s">
        <v>24</v>
      </c>
      <c r="C12" s="203">
        <v>1.0</v>
      </c>
      <c r="D12" s="203">
        <v>2021.0</v>
      </c>
      <c r="E12" s="170" t="str">
        <f>IFS('Caleb K'!G12="1 year ext.", "1 of 1 years (ext.)", 'Caleb K'!G12="2 year ext.", "1 of 2 years (ext.)", 'Caleb K'!G12="3 year ext.", "1 of 3 years (ext.)", 'Caleb K'!G12="Releasing","2 of 2 years")</f>
        <v>1 of 3 years (ext.)</v>
      </c>
      <c r="F12" s="112" t="s">
        <v>320</v>
      </c>
      <c r="G12" s="168" t="s">
        <v>331</v>
      </c>
      <c r="H12" s="194">
        <v>1.0</v>
      </c>
      <c r="I12" s="197">
        <f>IFS('Caleb K'!G12="1 year ext.", 'Caleb K'!C12+5, 'Caleb K'!G12="2 year ext.", 'Caleb K'!C12+5, 'Caleb K'!G12="3 year ext.", 'Caleb K'!C12+5, 'Caleb K'!G12="Releasing","0")</f>
        <v>6</v>
      </c>
      <c r="J12" s="110">
        <f>IFS('Caleb K'!G12="1 year ext.", "0", 'Caleb K'!G12="2 year ext.", 'Caleb K'!C12+10, 'Caleb K'!G12="3 year ext.", 'Caleb K'!C12+10, 'Caleb K'!H12="Releasing","0")</f>
        <v>11</v>
      </c>
      <c r="K12" s="110">
        <f>IFS('Caleb K'!G12="1 year ext.", "0", 'Caleb K'!G12="2 year ext.", "0", 'Caleb K'!G12="3 year ext.", 'Caleb K'!C12+15, 'Caleb K'!G12="Releasing","0")</f>
        <v>16</v>
      </c>
      <c r="L12" s="202"/>
    </row>
    <row r="13" ht="12.75" customHeight="1">
      <c r="A13" s="117"/>
      <c r="B13" s="172"/>
      <c r="C13" s="172"/>
      <c r="D13" s="172"/>
      <c r="E13" s="170"/>
      <c r="F13" s="172"/>
      <c r="G13" s="172"/>
      <c r="H13" s="194"/>
      <c r="I13" s="201"/>
      <c r="J13" s="201"/>
      <c r="K13" s="201"/>
      <c r="L13" s="202"/>
    </row>
    <row r="14" ht="12.75" customHeight="1">
      <c r="A14" s="123" t="s">
        <v>383</v>
      </c>
      <c r="B14" s="175" t="s">
        <v>63</v>
      </c>
      <c r="C14" s="205">
        <v>37.0</v>
      </c>
      <c r="D14" s="205">
        <v>2021.0</v>
      </c>
      <c r="E14" s="170" t="str">
        <f>IFS('Caleb K'!G14="1 year ext.", "1 of 1 years (ext.)", 'Caleb K'!G14="2 year ext.", "1 of 2 years (ext.)", 'Caleb K'!G14="3 year ext.", "1 of 3 years (ext.)", 'Caleb K'!G14="Releasing","2 of 2 years")</f>
        <v>1 of 1 years (ext.)</v>
      </c>
      <c r="F14" s="112" t="s">
        <v>320</v>
      </c>
      <c r="G14" s="168" t="s">
        <v>321</v>
      </c>
      <c r="H14" s="194">
        <v>37.0</v>
      </c>
      <c r="I14" s="197">
        <f>IFS('Caleb K'!G14="1 year ext.", 'Caleb K'!C14+5, 'Caleb K'!G14="2 year ext.", 'Caleb K'!C14+5, 'Caleb K'!G14="3 year ext.", 'Caleb K'!C14+5, 'Caleb K'!G14="Releasing","0")</f>
        <v>42</v>
      </c>
      <c r="J14" s="110" t="str">
        <f>IFS('Caleb K'!G14="1 year ext.", "0", 'Caleb K'!G14="2 year ext.", 'Caleb K'!C14+10, 'Caleb K'!G14="3 year ext.", 'Caleb K'!C14+10, 'Caleb K'!H14="Releasing","0")</f>
        <v>0</v>
      </c>
      <c r="K14" s="110" t="str">
        <f>IFS('Caleb K'!G14="1 year ext.", "0", 'Caleb K'!G14="2 year ext.", "0", 'Caleb K'!G14="3 year ext.", 'Caleb K'!C14+15, 'Caleb K'!G14="Releasing","0")</f>
        <v>0</v>
      </c>
      <c r="L14" s="206"/>
      <c r="M14" s="199" t="s">
        <v>129</v>
      </c>
    </row>
    <row r="15" ht="12.75" customHeight="1">
      <c r="A15" s="125" t="s">
        <v>384</v>
      </c>
      <c r="B15" s="176" t="s">
        <v>63</v>
      </c>
      <c r="C15" s="207">
        <v>15.0</v>
      </c>
      <c r="D15" s="205">
        <v>2021.0</v>
      </c>
      <c r="E15" s="170" t="str">
        <f>IFS('Caleb K'!G15="1 year ext.", "1 of 1 years (ext.)", 'Caleb K'!G15="2 year ext.", "1 of 2 years (ext.)", 'Caleb K'!G15="3 year ext.", "1 of 3 years (ext.)", 'Caleb K'!G15="Releasing","2 of 2 years")</f>
        <v>2 of 2 years</v>
      </c>
      <c r="F15" s="112" t="s">
        <v>320</v>
      </c>
      <c r="G15" s="168" t="s">
        <v>326</v>
      </c>
      <c r="H15" s="194">
        <v>15.0</v>
      </c>
      <c r="I15" s="197" t="str">
        <f>IFS('Caleb K'!G15="1 year ext.", 'Caleb K'!C15+5, 'Caleb K'!G15="2 year ext.", 'Caleb K'!C15+5, 'Caleb K'!G15="3 year ext.", 'Caleb K'!C15+5, 'Caleb K'!G15="Releasing","0")</f>
        <v>0</v>
      </c>
      <c r="J15" s="110" t="str">
        <f>IFS('Caleb K'!G15="1 year ext.", "0", 'Caleb K'!G15="2 year ext.", 'Caleb K'!C15+10, 'Caleb K'!G15="3 year ext.", 'Caleb K'!C15+10, 'Caleb K'!G15="Releasing","0")</f>
        <v>0</v>
      </c>
      <c r="K15" s="110" t="str">
        <f>IFS('Caleb K'!G15="1 year ext.", "0", 'Caleb K'!G15="2 year ext.", "0", 'Caleb K'!G15="3 year ext.", 'Caleb K'!C15+15, 'Caleb K'!G15="Releasing","0")</f>
        <v>0</v>
      </c>
      <c r="L15" s="206"/>
      <c r="M15" s="199"/>
    </row>
    <row r="16" ht="12.75" customHeight="1">
      <c r="A16" s="125" t="s">
        <v>385</v>
      </c>
      <c r="B16" s="176" t="s">
        <v>63</v>
      </c>
      <c r="C16" s="207">
        <v>15.0</v>
      </c>
      <c r="D16" s="205">
        <v>2021.0</v>
      </c>
      <c r="E16" s="170" t="str">
        <f>IFS('Caleb K'!G16="1 year ext.", "1 of 1 years (ext.)", 'Caleb K'!G16="2 year ext.", "1 of 2 years (ext.)", 'Caleb K'!G16="3 year ext.", "1 of 3 years (ext.)", 'Caleb K'!G16="Releasing","2 of 2 years")</f>
        <v>2 of 2 years</v>
      </c>
      <c r="F16" s="112" t="s">
        <v>320</v>
      </c>
      <c r="G16" s="168" t="s">
        <v>326</v>
      </c>
      <c r="H16" s="194">
        <v>15.0</v>
      </c>
      <c r="I16" s="197" t="str">
        <f>IFS('Caleb K'!G16="1 year ext.", 'Caleb K'!C16+5, 'Caleb K'!G16="2 year ext.", 'Caleb K'!C16+5, 'Caleb K'!G16="3 year ext.", 'Caleb K'!C16+5, 'Caleb K'!G16="Releasing","0")</f>
        <v>0</v>
      </c>
      <c r="J16" s="110" t="str">
        <f>IFS('Caleb K'!G16="1 year ext.", "0", 'Caleb K'!G16="2 year ext.", 'Caleb K'!C16+10, 'Caleb K'!G16="3 year ext.", 'Caleb K'!C16+10, 'Caleb K'!G16="Releasing","0")</f>
        <v>0</v>
      </c>
      <c r="K16" s="110" t="str">
        <f>IFS('Caleb K'!G16="1 year ext.", "0", 'Caleb K'!G16="2 year ext.", "0", 'Caleb K'!G16="3 year ext.", 'Caleb K'!C16+15, 'Caleb K'!G16="Releasing","0")</f>
        <v>0</v>
      </c>
      <c r="L16" s="206"/>
      <c r="M16" s="199"/>
    </row>
    <row r="17" ht="12.75" customHeight="1">
      <c r="A17" s="125" t="s">
        <v>386</v>
      </c>
      <c r="B17" s="176" t="s">
        <v>63</v>
      </c>
      <c r="C17" s="207">
        <v>3.0</v>
      </c>
      <c r="D17" s="205">
        <v>2021.0</v>
      </c>
      <c r="E17" s="170" t="str">
        <f>IFS('Caleb K'!G17="1 year ext.", "1 of 1 years (ext.)", 'Caleb K'!G17="2 year ext.", "1 of 2 years (ext.)", 'Caleb K'!G17="3 year ext.", "1 of 3 years (ext.)", 'Caleb K'!G17="Releasing","2 of 2 years")</f>
        <v>2 of 2 years</v>
      </c>
      <c r="F17" s="112" t="s">
        <v>320</v>
      </c>
      <c r="G17" s="168" t="s">
        <v>326</v>
      </c>
      <c r="H17" s="194">
        <v>3.0</v>
      </c>
      <c r="I17" s="197" t="str">
        <f>IFS('Caleb K'!G17="1 year ext.", 'Caleb K'!C17+5, 'Caleb K'!G17="2 year ext.", 'Caleb K'!C17+5, 'Caleb K'!G17="3 year ext.", 'Caleb K'!C17+5, 'Caleb K'!G17="Releasing","0")</f>
        <v>0</v>
      </c>
      <c r="J17" s="110" t="str">
        <f>IFS('Caleb K'!G17="1 year ext.", "0", 'Caleb K'!G17="2 year ext.", 'Caleb K'!C17+10, 'Caleb K'!G17="3 year ext.", 'Caleb K'!C17+10, 'Caleb K'!G17="Releasing","0")</f>
        <v>0</v>
      </c>
      <c r="K17" s="110" t="str">
        <f>IFS('Caleb K'!G17="1 year ext.", "0", 'Caleb K'!G17="2 year ext.", "0", 'Caleb K'!G17="3 year ext.", 'Caleb K'!C17+15, 'Caleb K'!G17="Releasing","0")</f>
        <v>0</v>
      </c>
      <c r="L17" s="206"/>
      <c r="M17" s="196" t="s">
        <v>129</v>
      </c>
    </row>
    <row r="18" ht="12.75" customHeight="1">
      <c r="A18" s="125" t="s">
        <v>82</v>
      </c>
      <c r="B18" s="176" t="s">
        <v>63</v>
      </c>
      <c r="C18" s="207">
        <v>20.0</v>
      </c>
      <c r="D18" s="205">
        <v>2022.0</v>
      </c>
      <c r="E18" s="193" t="s">
        <v>343</v>
      </c>
      <c r="F18" s="112" t="s">
        <v>323</v>
      </c>
      <c r="G18" s="176"/>
      <c r="H18" s="194">
        <v>20.0</v>
      </c>
      <c r="I18" s="128">
        <v>20.0</v>
      </c>
      <c r="J18" s="208"/>
      <c r="K18" s="208"/>
      <c r="L18" s="206"/>
      <c r="M18" s="196"/>
    </row>
    <row r="19" ht="12.75" customHeight="1">
      <c r="A19" s="125" t="s">
        <v>102</v>
      </c>
      <c r="B19" s="176" t="s">
        <v>63</v>
      </c>
      <c r="C19" s="207">
        <v>7.0</v>
      </c>
      <c r="D19" s="209">
        <v>2022.0</v>
      </c>
      <c r="E19" s="193" t="s">
        <v>343</v>
      </c>
      <c r="F19" s="112" t="s">
        <v>323</v>
      </c>
      <c r="G19" s="176"/>
      <c r="H19" s="194">
        <v>7.0</v>
      </c>
      <c r="I19" s="128">
        <v>7.0</v>
      </c>
      <c r="J19" s="208"/>
      <c r="K19" s="208"/>
      <c r="L19" s="206"/>
      <c r="M19" s="196"/>
    </row>
    <row r="20" ht="12.75" customHeight="1">
      <c r="A20" s="125" t="s">
        <v>387</v>
      </c>
      <c r="B20" s="176" t="s">
        <v>63</v>
      </c>
      <c r="C20" s="207">
        <v>2.0</v>
      </c>
      <c r="D20" s="205">
        <v>2021.0</v>
      </c>
      <c r="E20" s="170" t="str">
        <f>IFS('Caleb K'!G20="1 year ext.", "1 of 1 years (ext.)", 'Caleb K'!G20="2 year ext.", "1 of 2 years (ext.)", 'Caleb K'!G20="3 year ext.", "1 of 3 years (ext.)", 'Caleb K'!G20="Releasing","2 of 2 years")</f>
        <v>2 of 2 years</v>
      </c>
      <c r="F20" s="112" t="s">
        <v>320</v>
      </c>
      <c r="G20" s="168" t="s">
        <v>326</v>
      </c>
      <c r="H20" s="194">
        <v>2.0</v>
      </c>
      <c r="I20" s="197" t="str">
        <f>IFS('Caleb K'!G20="1 year ext.", 'Caleb K'!C20+5, 'Caleb K'!G20="2 year ext.", 'Caleb K'!C20+5, 'Caleb K'!G20="3 year ext.", 'Caleb K'!C20+5, 'Caleb K'!G20="Releasing","0")</f>
        <v>0</v>
      </c>
      <c r="J20" s="110" t="str">
        <f>IFS('Caleb K'!G20="1 year ext.", "0", 'Caleb K'!G20="2 year ext.", 'Caleb K'!C20+10, 'Caleb K'!G20="3 year ext.", 'Caleb K'!C20+10, 'Caleb K'!G20="Releasing","0")</f>
        <v>0</v>
      </c>
      <c r="K20" s="110" t="str">
        <f>IFS('Caleb K'!G20="1 year ext.", "0", 'Caleb K'!G20="2 year ext.", "0", 'Caleb K'!G20="3 year ext.", 'Caleb K'!C20+15, 'Caleb K'!G20="Releasing","0")</f>
        <v>0</v>
      </c>
      <c r="L20" s="206"/>
      <c r="M20" s="196"/>
    </row>
    <row r="21" ht="12.75" customHeight="1">
      <c r="A21" s="125"/>
      <c r="B21" s="176"/>
      <c r="C21" s="176"/>
      <c r="D21" s="175"/>
      <c r="E21" s="170"/>
      <c r="F21" s="176"/>
      <c r="G21" s="176"/>
      <c r="H21" s="194"/>
      <c r="I21" s="208"/>
      <c r="J21" s="110"/>
      <c r="K21" s="208"/>
      <c r="L21" s="206"/>
      <c r="M21" s="196"/>
    </row>
    <row r="22" ht="12.75" customHeight="1">
      <c r="A22" s="131" t="s">
        <v>388</v>
      </c>
      <c r="B22" s="177" t="s">
        <v>111</v>
      </c>
      <c r="C22" s="210">
        <v>20.0</v>
      </c>
      <c r="D22" s="210">
        <v>2021.0</v>
      </c>
      <c r="E22" s="170" t="str">
        <f>IFS('Caleb K'!G22="1 year ext.", "1 of 1 years (ext.)", 'Caleb K'!G22="2 year ext.", "1 of 2 years (ext.)", 'Caleb K'!G22="3 year ext.", "1 of 3 years (ext.)", 'Caleb K'!G22="Releasing","2 of 2 years")</f>
        <v>2 of 2 years</v>
      </c>
      <c r="F22" s="112" t="s">
        <v>320</v>
      </c>
      <c r="G22" s="168" t="s">
        <v>326</v>
      </c>
      <c r="H22" s="194">
        <v>20.0</v>
      </c>
      <c r="I22" s="197" t="str">
        <f>IFS('Caleb K'!G22="1 year ext.", 'Caleb K'!C22+5, 'Caleb K'!G22="2 year ext.", 'Caleb K'!C22+5, 'Caleb K'!G22="3 year ext.", 'Caleb K'!C22+5, 'Caleb K'!G22="Releasing","0")</f>
        <v>0</v>
      </c>
      <c r="J22" s="110" t="str">
        <f>IFS('Caleb K'!G22="1 year ext.", "0", 'Caleb K'!G22="2 year ext.", 'Caleb K'!C22+10, 'Caleb K'!G22="3 year ext.", 'Caleb K'!C22+10, 'Caleb K'!G22="Releasing","0")</f>
        <v>0</v>
      </c>
      <c r="K22" s="110" t="str">
        <f>IFS('Caleb K'!G22="1 year ext.", "0", 'Caleb K'!G22="2 year ext.", "0", 'Caleb K'!G22="3 year ext.", 'Caleb K'!C22+15, 'Caleb K'!G22="Releasing","0")</f>
        <v>0</v>
      </c>
      <c r="L22" s="211"/>
      <c r="M22" s="196"/>
    </row>
    <row r="23" ht="12.75" customHeight="1">
      <c r="A23" s="133"/>
      <c r="B23" s="179"/>
      <c r="C23" s="179"/>
      <c r="D23" s="179"/>
      <c r="E23" s="170"/>
      <c r="F23" s="179"/>
      <c r="G23" s="179"/>
      <c r="H23" s="194"/>
      <c r="I23" s="212"/>
      <c r="J23" s="212"/>
      <c r="K23" s="212"/>
      <c r="L23" s="213"/>
      <c r="M23" s="196" t="s">
        <v>129</v>
      </c>
    </row>
    <row r="24" ht="12.75" customHeight="1">
      <c r="A24" s="135" t="s">
        <v>389</v>
      </c>
      <c r="B24" s="180" t="s">
        <v>133</v>
      </c>
      <c r="C24" s="214">
        <v>2.0</v>
      </c>
      <c r="D24" s="214">
        <v>2021.0</v>
      </c>
      <c r="E24" s="170" t="str">
        <f>IFS('Caleb K'!G24="1 year ext.", "1 of 1 years (ext.)", 'Caleb K'!G24="2 year ext.", "1 of 2 years (ext.)", 'Caleb K'!G24="3 year ext.", "1 of 3 years (ext.)", 'Caleb K'!G24="Releasing","2 of 2 years")</f>
        <v>2 of 2 years</v>
      </c>
      <c r="F24" s="112" t="s">
        <v>320</v>
      </c>
      <c r="G24" s="168" t="s">
        <v>326</v>
      </c>
      <c r="H24" s="194">
        <v>2.0</v>
      </c>
      <c r="I24" s="197" t="str">
        <f>IFS('Caleb K'!G24="1 year ext.", 'Caleb K'!C24+5, 'Caleb K'!G24="2 year ext.", 'Caleb K'!C24+5, 'Caleb K'!G24="3 year ext.", 'Caleb K'!C24+5, 'Caleb K'!G24="Releasing","0")</f>
        <v>0</v>
      </c>
      <c r="J24" s="110" t="str">
        <f>IFS('Caleb K'!G24="1 year ext.", "0", 'Caleb K'!G24="2 year ext.", 'Caleb K'!C24+10, 'Caleb K'!G24="3 year ext.", 'Caleb K'!C24+10, 'Caleb K'!G24="Releasing","0")</f>
        <v>0</v>
      </c>
      <c r="K24" s="110" t="str">
        <f>IFS('Caleb K'!G24="1 year ext.", "0", 'Caleb K'!G24="2 year ext.", "0", 'Caleb K'!G24="3 year ext.", 'Caleb K'!C24+15, 'Caleb K'!G24="Releasing","0")</f>
        <v>0</v>
      </c>
      <c r="L24" s="215"/>
      <c r="M24" s="196" t="s">
        <v>129</v>
      </c>
    </row>
    <row r="25" ht="12.75" customHeight="1">
      <c r="A25" s="135" t="s">
        <v>390</v>
      </c>
      <c r="B25" s="180" t="s">
        <v>133</v>
      </c>
      <c r="C25" s="214">
        <v>2.0</v>
      </c>
      <c r="D25" s="214">
        <v>2021.0</v>
      </c>
      <c r="E25" s="170" t="str">
        <f>IFS('Caleb K'!G25="1 year ext.", "1 of 1 years (ext.)", 'Caleb K'!G25="2 year ext.", "1 of 2 years (ext.)", 'Caleb K'!G25="3 year ext.", "1 of 3 years (ext.)", 'Caleb K'!G25="Releasing","2 of 2 years")</f>
        <v>2 of 2 years</v>
      </c>
      <c r="F25" s="112" t="s">
        <v>320</v>
      </c>
      <c r="G25" s="168" t="s">
        <v>326</v>
      </c>
      <c r="H25" s="194">
        <v>2.0</v>
      </c>
      <c r="I25" s="197" t="str">
        <f>IFS('Caleb K'!G25="1 year ext.", 'Caleb K'!C25+5, 'Caleb K'!G25="2 year ext.", 'Caleb K'!C25+5, 'Caleb K'!G25="3 year ext.", 'Caleb K'!C25+5, 'Caleb K'!G25="Releasing","0")</f>
        <v>0</v>
      </c>
      <c r="J25" s="110" t="str">
        <f>IFS('Caleb K'!G25="1 year ext.", "0", 'Caleb K'!G25="2 year ext.", 'Caleb K'!C25+10, 'Caleb K'!G25="3 year ext.", 'Caleb K'!C25+10, 'Caleb K'!G25="Releasing","0")</f>
        <v>0</v>
      </c>
      <c r="K25" s="110" t="str">
        <f>IFS('Caleb K'!G25="1 year ext.", "0", 'Caleb K'!G25="2 year ext.", "0", 'Caleb K'!G25="3 year ext.", 'Caleb K'!C25+15, 'Caleb K'!G25="Releasing","0")</f>
        <v>0</v>
      </c>
      <c r="L25" s="215"/>
      <c r="M25" s="196"/>
    </row>
    <row r="26" ht="12.75" customHeight="1">
      <c r="A26" s="216"/>
      <c r="B26" s="170"/>
      <c r="C26" s="170"/>
      <c r="D26" s="170"/>
      <c r="E26" s="170"/>
      <c r="F26" s="170"/>
      <c r="G26" s="170"/>
      <c r="H26" s="194"/>
      <c r="I26" s="217"/>
      <c r="J26" s="217"/>
      <c r="K26" s="217"/>
      <c r="L26" s="218"/>
      <c r="M26" s="196"/>
    </row>
    <row r="27" ht="12.75" customHeight="1">
      <c r="A27" s="216"/>
      <c r="B27" s="170"/>
      <c r="C27" s="170"/>
      <c r="D27" s="170"/>
      <c r="E27" s="170"/>
      <c r="F27" s="170"/>
      <c r="G27" s="170"/>
      <c r="H27" s="194"/>
      <c r="I27" s="217"/>
      <c r="J27" s="217"/>
      <c r="K27" s="217"/>
      <c r="L27" s="218"/>
      <c r="M27" s="196"/>
    </row>
    <row r="28" ht="12.75" customHeight="1">
      <c r="A28" s="216"/>
      <c r="B28" s="170"/>
      <c r="C28" s="170"/>
      <c r="D28" s="170"/>
      <c r="E28" s="170"/>
      <c r="F28" s="170"/>
      <c r="G28" s="170"/>
      <c r="H28" s="105"/>
      <c r="I28" s="105"/>
      <c r="J28" s="105"/>
      <c r="K28" s="105"/>
      <c r="L28" s="170"/>
      <c r="M28" s="196"/>
    </row>
    <row r="29" ht="12.75" customHeight="1">
      <c r="A29" s="216"/>
      <c r="B29" s="170"/>
      <c r="C29" s="170"/>
      <c r="D29" s="170"/>
      <c r="E29" s="170"/>
      <c r="F29" s="170"/>
      <c r="G29" s="170"/>
      <c r="H29" s="105"/>
      <c r="I29" s="105"/>
      <c r="J29" s="105"/>
      <c r="K29" s="105"/>
      <c r="L29" s="170"/>
      <c r="M29" s="196"/>
    </row>
    <row r="30" ht="12.75" customHeight="1">
      <c r="A30" s="140" t="s">
        <v>341</v>
      </c>
      <c r="B30" s="141"/>
      <c r="C30" s="141"/>
      <c r="D30" s="141"/>
      <c r="E30" s="141"/>
      <c r="F30" s="141"/>
      <c r="G30" s="141"/>
      <c r="H30" s="219"/>
      <c r="I30" s="141"/>
      <c r="J30" s="141"/>
      <c r="K30" s="141"/>
      <c r="L30" s="141"/>
      <c r="M30" s="196" t="s">
        <v>371</v>
      </c>
    </row>
    <row r="31" ht="12.75" customHeight="1">
      <c r="A31" s="146" t="s">
        <v>391</v>
      </c>
      <c r="B31" s="147"/>
      <c r="C31" s="148"/>
      <c r="D31" s="148">
        <v>2021.0</v>
      </c>
      <c r="E31" s="141" t="s">
        <v>343</v>
      </c>
      <c r="F31" s="141"/>
      <c r="G31" s="141"/>
      <c r="H31" s="219">
        <v>1.0</v>
      </c>
      <c r="I31" s="141"/>
      <c r="J31" s="141"/>
      <c r="K31" s="141"/>
      <c r="L31" s="141"/>
      <c r="M31" s="196" t="s">
        <v>129</v>
      </c>
    </row>
    <row r="32" ht="12.75" customHeight="1">
      <c r="A32" s="146" t="s">
        <v>392</v>
      </c>
      <c r="B32" s="147"/>
      <c r="C32" s="148"/>
      <c r="D32" s="148">
        <v>2021.0</v>
      </c>
      <c r="E32" s="141" t="s">
        <v>343</v>
      </c>
      <c r="F32" s="141"/>
      <c r="G32" s="141"/>
      <c r="H32" s="219">
        <v>1.0</v>
      </c>
      <c r="I32" s="141"/>
      <c r="J32" s="141"/>
      <c r="K32" s="141"/>
      <c r="L32" s="141"/>
      <c r="M32" s="196"/>
    </row>
    <row r="33" ht="12.75" customHeight="1">
      <c r="A33" s="146" t="s">
        <v>154</v>
      </c>
      <c r="B33" s="147"/>
      <c r="C33" s="148"/>
      <c r="D33" s="148">
        <v>2021.0</v>
      </c>
      <c r="E33" s="141" t="s">
        <v>343</v>
      </c>
      <c r="F33" s="141"/>
      <c r="G33" s="141"/>
      <c r="H33" s="219">
        <v>1.0</v>
      </c>
      <c r="I33" s="141"/>
      <c r="J33" s="141"/>
      <c r="K33" s="141"/>
      <c r="L33" s="141"/>
      <c r="M33" s="199" t="s">
        <v>129</v>
      </c>
    </row>
    <row r="34" ht="12.75" customHeight="1">
      <c r="A34" s="146" t="s">
        <v>159</v>
      </c>
      <c r="B34" s="147"/>
      <c r="C34" s="148"/>
      <c r="D34" s="148">
        <v>2021.0</v>
      </c>
      <c r="E34" s="141" t="s">
        <v>343</v>
      </c>
      <c r="F34" s="141"/>
      <c r="G34" s="141"/>
      <c r="H34" s="219">
        <v>2.0</v>
      </c>
      <c r="I34" s="141"/>
      <c r="J34" s="141"/>
      <c r="K34" s="141"/>
      <c r="L34" s="141"/>
      <c r="M34" s="196" t="s">
        <v>129</v>
      </c>
    </row>
    <row r="35" ht="12.75" customHeight="1">
      <c r="A35" s="146" t="s">
        <v>393</v>
      </c>
      <c r="B35" s="147"/>
      <c r="C35" s="148"/>
      <c r="D35" s="148">
        <v>2021.0</v>
      </c>
      <c r="E35" s="141" t="s">
        <v>343</v>
      </c>
      <c r="F35" s="141"/>
      <c r="G35" s="141"/>
      <c r="H35" s="219">
        <v>1.0</v>
      </c>
      <c r="I35" s="141"/>
      <c r="J35" s="141"/>
      <c r="K35" s="141"/>
      <c r="L35" s="141"/>
      <c r="M35" s="196" t="s">
        <v>129</v>
      </c>
    </row>
    <row r="36" ht="12.75" customHeight="1">
      <c r="A36" s="146" t="s">
        <v>394</v>
      </c>
      <c r="B36" s="147"/>
      <c r="C36" s="148"/>
      <c r="D36" s="148">
        <v>2021.0</v>
      </c>
      <c r="E36" s="141" t="s">
        <v>343</v>
      </c>
      <c r="F36" s="141"/>
      <c r="G36" s="141"/>
      <c r="H36" s="219">
        <v>16.0</v>
      </c>
      <c r="I36" s="141"/>
      <c r="J36" s="141"/>
      <c r="K36" s="141"/>
      <c r="L36" s="141"/>
      <c r="M36" s="196" t="s">
        <v>129</v>
      </c>
    </row>
    <row r="37" ht="12.75" customHeight="1">
      <c r="A37" s="146" t="s">
        <v>47</v>
      </c>
      <c r="B37" s="147"/>
      <c r="C37" s="148"/>
      <c r="D37" s="148">
        <v>2021.0</v>
      </c>
      <c r="E37" s="141" t="s">
        <v>343</v>
      </c>
      <c r="F37" s="141"/>
      <c r="G37" s="141"/>
      <c r="H37" s="219">
        <v>5.0</v>
      </c>
      <c r="I37" s="141"/>
      <c r="J37" s="141"/>
      <c r="K37" s="141"/>
      <c r="L37" s="141"/>
      <c r="M37" s="196" t="s">
        <v>129</v>
      </c>
    </row>
    <row r="38" ht="12.75" customHeight="1">
      <c r="A38" s="146" t="s">
        <v>395</v>
      </c>
      <c r="B38" s="147"/>
      <c r="C38" s="148"/>
      <c r="D38" s="148">
        <v>2021.0</v>
      </c>
      <c r="E38" s="141" t="s">
        <v>343</v>
      </c>
      <c r="F38" s="141"/>
      <c r="G38" s="141"/>
      <c r="H38" s="219">
        <v>1.0</v>
      </c>
      <c r="I38" s="141"/>
      <c r="J38" s="141"/>
      <c r="K38" s="141"/>
      <c r="L38" s="141"/>
    </row>
    <row r="39" ht="12.75" customHeight="1">
      <c r="A39" s="146" t="s">
        <v>174</v>
      </c>
      <c r="B39" s="147"/>
      <c r="C39" s="148"/>
      <c r="D39" s="148">
        <v>2021.0</v>
      </c>
      <c r="E39" s="141" t="s">
        <v>343</v>
      </c>
      <c r="F39" s="141"/>
      <c r="G39" s="141"/>
      <c r="H39" s="219">
        <v>2.0</v>
      </c>
      <c r="I39" s="141"/>
      <c r="J39" s="141"/>
      <c r="K39" s="141"/>
      <c r="L39" s="141"/>
    </row>
    <row r="40" ht="12.75" customHeight="1">
      <c r="A40" s="185"/>
      <c r="B40" s="98"/>
      <c r="C40" s="186"/>
      <c r="D40" s="98"/>
      <c r="E40" s="98"/>
      <c r="F40" s="98"/>
      <c r="G40" s="98"/>
      <c r="H40" s="98"/>
      <c r="I40" s="98"/>
      <c r="J40" s="98"/>
      <c r="K40" s="98"/>
      <c r="L40" s="98"/>
    </row>
    <row r="41" ht="12.75" customHeight="1">
      <c r="A41" s="220" t="s">
        <v>349</v>
      </c>
      <c r="B41" s="220"/>
      <c r="C41" s="221">
        <f>SUM('Caleb K'!C3:C39)</f>
        <v>213</v>
      </c>
      <c r="D41" s="220"/>
      <c r="E41" s="220"/>
      <c r="F41" s="220"/>
      <c r="G41" s="220"/>
      <c r="H41" s="221">
        <f>SUM('Caleb K'!H3:H39)</f>
        <v>243</v>
      </c>
      <c r="I41" s="221">
        <f>SUM('Caleb K'!I3:I39)</f>
        <v>144</v>
      </c>
      <c r="J41" s="221">
        <f>SUM('Caleb K'!J3:J39)</f>
        <v>23</v>
      </c>
      <c r="K41" s="221">
        <f>SUM('Caleb K'!K3:K39)</f>
        <v>33</v>
      </c>
      <c r="L41" s="220"/>
    </row>
    <row r="42" ht="12.75" customHeight="1">
      <c r="A42" s="222" t="s">
        <v>350</v>
      </c>
      <c r="B42" s="222"/>
      <c r="C42" s="223">
        <f>(250-'Caleb K'!C41)</f>
        <v>37</v>
      </c>
      <c r="D42" s="222"/>
      <c r="E42" s="222"/>
      <c r="F42" s="222"/>
      <c r="G42" s="222"/>
      <c r="H42" s="223">
        <f>(250-'Caleb K'!H41)</f>
        <v>7</v>
      </c>
      <c r="I42" s="223">
        <f>(250-'Caleb K'!I41)</f>
        <v>106</v>
      </c>
      <c r="J42" s="223">
        <f>(250-'Caleb K'!J41)</f>
        <v>227</v>
      </c>
      <c r="K42" s="223">
        <f>(250-'Caleb K'!K41)</f>
        <v>217</v>
      </c>
      <c r="L42" s="222"/>
    </row>
    <row r="43" ht="12.75" customHeight="1">
      <c r="A43" s="199"/>
      <c r="C43" s="199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dataValidations>
    <dataValidation type="list" allowBlank="1" showErrorMessage="1" sqref="G4:G6 G9:G10 G12 G14:G17 G20 G22 G24:G25">
      <formula1>"1 year ext.,2 year ext.,3 year ext.,Releasing"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8.86"/>
    <col customWidth="1" min="3" max="3" width="14.29"/>
    <col customWidth="1" min="4" max="4" width="12.0"/>
    <col customWidth="1" min="5" max="5" width="17.86"/>
    <col customWidth="1" min="6" max="6" width="16.71"/>
    <col customWidth="1" min="7" max="7" width="20.0"/>
    <col customWidth="1" min="8" max="12" width="16.71"/>
    <col customWidth="1" min="13" max="25" width="8.86"/>
  </cols>
  <sheetData>
    <row r="1" ht="12.75" customHeight="1">
      <c r="A1" s="97" t="s">
        <v>3</v>
      </c>
      <c r="B1" s="98"/>
      <c r="C1" s="98"/>
      <c r="D1" s="98"/>
      <c r="E1" s="98"/>
      <c r="F1" s="99"/>
      <c r="G1" s="99"/>
      <c r="H1" s="99"/>
      <c r="I1" s="99"/>
      <c r="J1" s="99"/>
      <c r="K1" s="99"/>
      <c r="L1" s="99"/>
    </row>
    <row r="2" ht="12.75" customHeight="1">
      <c r="A2" s="100" t="s">
        <v>7</v>
      </c>
      <c r="B2" s="101" t="s">
        <v>308</v>
      </c>
      <c r="C2" s="163" t="s">
        <v>309</v>
      </c>
      <c r="D2" s="101" t="s">
        <v>310</v>
      </c>
      <c r="E2" s="101" t="s">
        <v>352</v>
      </c>
      <c r="F2" s="102" t="s">
        <v>312</v>
      </c>
      <c r="G2" s="102" t="s">
        <v>313</v>
      </c>
      <c r="H2" s="102" t="s">
        <v>314</v>
      </c>
      <c r="I2" s="102" t="s">
        <v>315</v>
      </c>
      <c r="J2" s="102" t="s">
        <v>316</v>
      </c>
      <c r="K2" s="102" t="s">
        <v>317</v>
      </c>
      <c r="L2" s="102" t="s">
        <v>318</v>
      </c>
    </row>
    <row r="3" ht="12.75" customHeight="1">
      <c r="A3" s="103" t="s">
        <v>396</v>
      </c>
      <c r="B3" s="165" t="s">
        <v>9</v>
      </c>
      <c r="C3" s="224">
        <v>8.0</v>
      </c>
      <c r="D3" s="166">
        <v>2021.0</v>
      </c>
      <c r="E3" s="167" t="str">
        <f>IFS('Chris G'!G3="1 year ext.", "1 of 1 years (ext.)", 'Chris G'!G3="2 year ext.", "1 of 2 ext.", 'Chris G'!G3="3 year ext.", "1 of 3 ext.", 'Chris G'!G3="Releasing","2 of 2 years")</f>
        <v>1 of 1 years (ext.)</v>
      </c>
      <c r="F3" s="107" t="s">
        <v>320</v>
      </c>
      <c r="G3" s="108" t="s">
        <v>321</v>
      </c>
      <c r="H3" s="225">
        <v>8.0</v>
      </c>
      <c r="I3" s="226">
        <f>IFS('Chris G'!G3="1 year ext.", 'Chris G'!C3+5, 'Chris G'!G3="2 year ext.", 'Chris G'!C3+5, 'Chris G'!G3="3 year ext.", 'Chris G'!C3+5, 'Chris G'!G3="Releasing","0")</f>
        <v>13</v>
      </c>
      <c r="J3" s="226" t="str">
        <f>IFS('Chris G'!G3="1 year ext.", "0", 'Chris G'!G3="2 year ext.", 'Chris G'!C3+10, 'Chris G'!G3="3 year ext.", 'Chris G'!C3+10, 'Chris G'!G3="Releasing","0")</f>
        <v>0</v>
      </c>
      <c r="K3" s="226" t="str">
        <f>IFS('Chris G'!G3="1 year ext.", "0", 'Chris G'!G3="2 year ext.", "0", 'Chris G'!G3="3 year ext.", 'Chris G'!C3+15, 'Chris G'!G3="Releasing","0")</f>
        <v>0</v>
      </c>
      <c r="L3" s="111"/>
    </row>
    <row r="4" ht="12.75" customHeight="1">
      <c r="A4" s="103" t="s">
        <v>397</v>
      </c>
      <c r="B4" s="165" t="s">
        <v>9</v>
      </c>
      <c r="C4" s="192">
        <v>3.0</v>
      </c>
      <c r="D4" s="166">
        <v>2021.0</v>
      </c>
      <c r="E4" s="167" t="str">
        <f>IFS('Chris G'!G4="1 year ext.", "1 of 1 years (ext.)", 'Chris G'!G4="2 year ext.", "1 of 2 ext.", 'Chris G'!G4="3 year ext.", "1 of 3 ext.", 'Chris G'!G4="Releasing","2 of 2 years")</f>
        <v>1 of 1 years (ext.)</v>
      </c>
      <c r="F4" s="107" t="s">
        <v>320</v>
      </c>
      <c r="G4" s="108" t="s">
        <v>321</v>
      </c>
      <c r="H4" s="225">
        <v>3.0</v>
      </c>
      <c r="I4" s="226">
        <f>IFS('Chris G'!G4="1 year ext.", 'Chris G'!C4+5, 'Chris G'!G4="2 year ext.", 'Chris G'!C4+5, 'Chris G'!G4="3 year ext.", 'Chris G'!C4+5, 'Chris G'!G4="Releasing","0")</f>
        <v>8</v>
      </c>
      <c r="J4" s="226" t="str">
        <f>IFS('Chris G'!G4="1 year ext.", "0", 'Chris G'!G4="2 year ext.", 'Chris G'!C4+10, 'Chris G'!G4="3 year ext.", 'Chris G'!C4+10, 'Chris G'!G4="Releasing","0")</f>
        <v>0</v>
      </c>
      <c r="K4" s="226" t="str">
        <f>IFS('Chris G'!G4="1 year ext.", "0", 'Chris G'!G4="2 year ext.", "0", 'Chris G'!G4="3 year ext.", 'Chris G'!C4+15, 'Chris G'!G4="Releasing","0")</f>
        <v>0</v>
      </c>
      <c r="L4" s="111"/>
    </row>
    <row r="5" ht="12.75" customHeight="1">
      <c r="A5" s="103"/>
      <c r="B5" s="165"/>
      <c r="C5" s="165"/>
      <c r="D5" s="170"/>
      <c r="E5" s="170"/>
      <c r="F5" s="115"/>
      <c r="G5" s="111"/>
      <c r="H5" s="225"/>
      <c r="I5" s="116"/>
      <c r="J5" s="114"/>
      <c r="K5" s="114"/>
      <c r="L5" s="111"/>
    </row>
    <row r="6" ht="12.75" customHeight="1">
      <c r="A6" s="117" t="s">
        <v>398</v>
      </c>
      <c r="B6" s="172" t="s">
        <v>24</v>
      </c>
      <c r="C6" s="203">
        <v>28.0</v>
      </c>
      <c r="D6" s="166">
        <v>2021.0</v>
      </c>
      <c r="E6" s="167" t="str">
        <f>IFS('Chris G'!G6="1 year ext.", "1 of 1 years (ext.)", 'Chris G'!G6="2 year ext.", "1 of 2 ext.", 'Chris G'!G6="3 year ext.", "1 of 3 ext.", 'Chris G'!G6="Releasing","2 of 2 years")</f>
        <v>1 of 1 years (ext.)</v>
      </c>
      <c r="F6" s="107" t="s">
        <v>320</v>
      </c>
      <c r="G6" s="108" t="s">
        <v>321</v>
      </c>
      <c r="H6" s="227">
        <v>28.0</v>
      </c>
      <c r="I6" s="226">
        <f>IFS('Chris G'!G6="1 year ext.", 'Chris G'!C6+5, 'Chris G'!G6="2 year ext.", 'Chris G'!C6+5, 'Chris G'!G6="3 year ext.", 'Chris G'!C6+5, 'Chris G'!G6="Releasing","0")</f>
        <v>33</v>
      </c>
      <c r="J6" s="226" t="str">
        <f>IFS('Chris G'!G6="1 year ext.", "0", 'Chris G'!G6="2 year ext.", 'Chris G'!C6+10, 'Chris G'!G6="3 year ext.", 'Chris G'!C6+10, 'Chris G'!G6="Releasing","0")</f>
        <v>0</v>
      </c>
      <c r="K6" s="226" t="str">
        <f>IFS('Chris G'!G6="1 year ext.", "0", 'Chris G'!G6="2 year ext.", "0", 'Chris G'!G6="3 year ext.", 'Chris G'!C6+15, 'Chris G'!G6="Releasing","0")</f>
        <v>0</v>
      </c>
      <c r="L6" s="111"/>
    </row>
    <row r="7" ht="12.75" customHeight="1">
      <c r="A7" s="228" t="s">
        <v>399</v>
      </c>
      <c r="B7" s="172" t="s">
        <v>24</v>
      </c>
      <c r="C7" s="203">
        <v>29.0</v>
      </c>
      <c r="D7" s="166">
        <v>2021.0</v>
      </c>
      <c r="E7" s="167" t="str">
        <f>IFS('Chris G'!G7="1 year ext.", "1 of 1 years (ext.)", 'Chris G'!G7="2 year ext.", "1 of 2 ext.", 'Chris G'!G7="3 year ext.", "1 of 3 ext.", 'Chris G'!G7="Releasing","2 of 2 years")</f>
        <v>1 of 2 ext.</v>
      </c>
      <c r="F7" s="107" t="s">
        <v>320</v>
      </c>
      <c r="G7" s="108" t="s">
        <v>328</v>
      </c>
      <c r="H7" s="227">
        <v>29.0</v>
      </c>
      <c r="I7" s="226">
        <f>IFS('Chris G'!G7="1 year ext.", 'Chris G'!C7+5, 'Chris G'!G7="2 year ext.", 'Chris G'!C7+5, 'Chris G'!G7="3 year ext.", 'Chris G'!C7+5, 'Chris G'!G7="Releasing","0")</f>
        <v>34</v>
      </c>
      <c r="J7" s="226">
        <f>IFS('Chris G'!G7="1 year ext.", "0", 'Chris G'!G7="2 year ext.", 'Chris G'!C7+10, 'Chris G'!G7="3 year ext.", 'Chris G'!C7+10, 'Chris G'!G7="Releasing","0")</f>
        <v>39</v>
      </c>
      <c r="K7" s="226" t="str">
        <f>IFS('Chris G'!G7="1 year ext.", "0", 'Chris G'!G7="2 year ext.", "0", 'Chris G'!G7="3 year ext.", 'Chris G'!C7+15, 'Chris G'!G7="Releasing","0")</f>
        <v>0</v>
      </c>
      <c r="L7" s="229"/>
    </row>
    <row r="8" ht="12.75" customHeight="1">
      <c r="A8" s="117" t="s">
        <v>302</v>
      </c>
      <c r="B8" s="172" t="s">
        <v>24</v>
      </c>
      <c r="C8" s="203">
        <v>6.0</v>
      </c>
      <c r="D8" s="166">
        <v>2022.0</v>
      </c>
      <c r="E8" s="193" t="s">
        <v>343</v>
      </c>
      <c r="F8" s="107" t="s">
        <v>323</v>
      </c>
      <c r="G8" s="111"/>
      <c r="H8" s="227">
        <v>6.0</v>
      </c>
      <c r="I8" s="201"/>
      <c r="J8" s="230"/>
      <c r="K8" s="121"/>
      <c r="L8" s="119"/>
    </row>
    <row r="9" ht="12.75" customHeight="1">
      <c r="A9" s="117" t="s">
        <v>400</v>
      </c>
      <c r="B9" s="172" t="s">
        <v>24</v>
      </c>
      <c r="C9" s="203">
        <v>2.0</v>
      </c>
      <c r="D9" s="166">
        <v>2021.0</v>
      </c>
      <c r="E9" s="167" t="str">
        <f>IFS('Chris G'!G9="1 year ext.", "1 of 1 years (ext.)", 'Chris G'!G9="2 year ext.", "1 of 2 ext.", 'Chris G'!G9="3 year ext.", "1 of 3 ext.", 'Chris G'!G9="Releasing","2 of 2 years")</f>
        <v>1 of 2 ext.</v>
      </c>
      <c r="F9" s="107" t="s">
        <v>320</v>
      </c>
      <c r="G9" s="108" t="s">
        <v>328</v>
      </c>
      <c r="H9" s="227">
        <v>2.0</v>
      </c>
      <c r="I9" s="226">
        <f>IFS('Chris G'!G9="1 year ext.", 'Chris G'!C9+5, 'Chris G'!G9="2 year ext.", 'Chris G'!C9+5, 'Chris G'!G9="3 year ext.", 'Chris G'!C9+5, 'Chris G'!G9="Releasing","0")</f>
        <v>7</v>
      </c>
      <c r="J9" s="226">
        <f>IFS('Chris G'!G9="1 year ext.", "0", 'Chris G'!G9="2 year ext.", 'Chris G'!C9+10, 'Chris G'!G9="3 year ext.", 'Chris G'!C9+10, 'Chris G'!G9="Releasing","0")</f>
        <v>12</v>
      </c>
      <c r="K9" s="226" t="str">
        <f>IFS('Chris G'!G9="1 year ext.", "0", 'Chris G'!G9="2 year ext.", "0", 'Chris G'!G9="3 year ext.", 'Chris G'!C9+15, 'Chris G'!G9="Releasing","0")</f>
        <v>0</v>
      </c>
      <c r="L9" s="119"/>
    </row>
    <row r="10" ht="12.75" customHeight="1">
      <c r="A10" s="117" t="s">
        <v>401</v>
      </c>
      <c r="B10" s="172" t="s">
        <v>24</v>
      </c>
      <c r="C10" s="203">
        <v>1.0</v>
      </c>
      <c r="D10" s="166">
        <v>2021.0</v>
      </c>
      <c r="E10" s="167" t="str">
        <f>IFS('Chris G'!G10="1 year ext.", "1 of 1 years (ext.)", 'Chris G'!G10="2 year ext.", "1 of 2 ext.", 'Chris G'!G10="3 year ext.", "1 of 3 ext.", 'Chris G'!G10="Releasing","2 of 2 years")</f>
        <v>2 of 2 years</v>
      </c>
      <c r="F10" s="107" t="s">
        <v>320</v>
      </c>
      <c r="G10" s="108" t="s">
        <v>326</v>
      </c>
      <c r="H10" s="227">
        <v>1.0</v>
      </c>
      <c r="I10" s="226" t="str">
        <f>IFS('Chris G'!G10="1 year ext.", 'Chris G'!C10+5, 'Chris G'!G10="2 year ext.", 'Chris G'!C10+5, 'Chris G'!G10="3 year ext.", 'Chris G'!C10+5, 'Chris G'!G10="Releasing","0")</f>
        <v>0</v>
      </c>
      <c r="J10" s="226" t="str">
        <f>IFS('Chris G'!G10="1 year ext.", "0", 'Chris G'!G10="2 year ext.", 'Chris G'!C10+10, 'Chris G'!G10="3 year ext.", 'Chris G'!C10+10, 'Chris G'!G10="Releasing","0")</f>
        <v>0</v>
      </c>
      <c r="K10" s="226" t="str">
        <f>IFS('Chris G'!G10="1 year ext.", "0", 'Chris G'!G10="2 year ext.", "0", 'Chris G'!G10="3 year ext.", 'Chris G'!C10+15, 'Chris G'!G10="Releasing","0")</f>
        <v>0</v>
      </c>
      <c r="L10" s="119"/>
    </row>
    <row r="11" ht="12.75" customHeight="1">
      <c r="A11" s="117" t="s">
        <v>402</v>
      </c>
      <c r="B11" s="172" t="s">
        <v>24</v>
      </c>
      <c r="C11" s="203">
        <v>1.0</v>
      </c>
      <c r="D11" s="166">
        <v>2021.0</v>
      </c>
      <c r="E11" s="167" t="str">
        <f>IFS('Chris G'!G11="1 year ext.", "1 of 1 years (ext.)", 'Chris G'!G11="2 year ext.", "1 of 2 ext.", 'Chris G'!G11="3 year ext.", "1 of 3 ext.", 'Chris G'!G11="Releasing","2 of 2 years")</f>
        <v>2 of 2 years</v>
      </c>
      <c r="F11" s="107" t="s">
        <v>320</v>
      </c>
      <c r="G11" s="108" t="s">
        <v>326</v>
      </c>
      <c r="H11" s="227">
        <v>1.0</v>
      </c>
      <c r="I11" s="226" t="str">
        <f>IFS('Chris G'!G11="1 year ext.", 'Chris G'!C11+5, 'Chris G'!G11="2 year ext.", 'Chris G'!C11+5, 'Chris G'!G11="3 year ext.", 'Chris G'!C11+5, 'Chris G'!G11="Releasing","0")</f>
        <v>0</v>
      </c>
      <c r="J11" s="226" t="str">
        <f>IFS('Chris G'!G11="1 year ext.", "0", 'Chris G'!G11="2 year ext.", 'Chris G'!C11+10, 'Chris G'!G11="3 year ext.", 'Chris G'!C11+10, 'Chris G'!G11="Releasing","0")</f>
        <v>0</v>
      </c>
      <c r="K11" s="226" t="str">
        <f>IFS('Chris G'!G11="1 year ext.", "0", 'Chris G'!G11="2 year ext.", "0", 'Chris G'!G11="3 year ext.", 'Chris G'!C11+15, 'Chris G'!G11="Releasing","0")</f>
        <v>0</v>
      </c>
      <c r="L11" s="119"/>
    </row>
    <row r="12" ht="12.75" customHeight="1">
      <c r="A12" s="117" t="s">
        <v>403</v>
      </c>
      <c r="B12" s="172" t="s">
        <v>24</v>
      </c>
      <c r="C12" s="203">
        <v>4.0</v>
      </c>
      <c r="D12" s="166">
        <v>2022.0</v>
      </c>
      <c r="E12" s="193" t="s">
        <v>343</v>
      </c>
      <c r="F12" s="107" t="s">
        <v>323</v>
      </c>
      <c r="G12" s="119"/>
      <c r="H12" s="227">
        <v>4.0</v>
      </c>
      <c r="I12" s="201"/>
      <c r="J12" s="121"/>
      <c r="K12" s="121"/>
      <c r="L12" s="119"/>
    </row>
    <row r="13" ht="12.75" customHeight="1">
      <c r="A13" s="123"/>
      <c r="B13" s="175"/>
      <c r="C13" s="175"/>
      <c r="D13" s="170"/>
      <c r="E13" s="170"/>
      <c r="F13" s="115"/>
      <c r="G13" s="119"/>
      <c r="H13" s="231"/>
      <c r="I13" s="122"/>
      <c r="J13" s="121"/>
      <c r="K13" s="121"/>
      <c r="L13" s="119"/>
    </row>
    <row r="14" ht="12.75" customHeight="1">
      <c r="A14" s="125" t="s">
        <v>404</v>
      </c>
      <c r="B14" s="176" t="s">
        <v>63</v>
      </c>
      <c r="C14" s="207">
        <v>20.0</v>
      </c>
      <c r="D14" s="166">
        <v>2021.0</v>
      </c>
      <c r="E14" s="167" t="str">
        <f>IFS('Chris G'!G14="1 year ext.", "1 of 1 years (ext.)", 'Chris G'!G14="2 year ext.", "1 of 2 ext.", 'Chris G'!G14="3 year ext.", "1 of 3 ext.", 'Chris G'!G14="Releasing","2 of 2 years")</f>
        <v>1 of 3 ext.</v>
      </c>
      <c r="F14" s="107" t="s">
        <v>320</v>
      </c>
      <c r="G14" s="108" t="s">
        <v>331</v>
      </c>
      <c r="H14" s="232">
        <v>20.0</v>
      </c>
      <c r="I14" s="226">
        <f>IFS('Chris G'!G14="1 year ext.", 'Chris G'!C14+5, 'Chris G'!G14="2 year ext.", 'Chris G'!C14+5, 'Chris G'!G14="3 year ext.", 'Chris G'!C14+5, 'Chris G'!G14="Releasing","0")</f>
        <v>25</v>
      </c>
      <c r="J14" s="226">
        <f>IFS('Chris G'!G14="1 year ext.", "0", 'Chris G'!G14="2 year ext.", 'Chris G'!C14+10, 'Chris G'!G14="3 year ext.", 'Chris G'!C14+10, 'Chris G'!G14="Releasing","0")</f>
        <v>30</v>
      </c>
      <c r="K14" s="226">
        <f>IFS('Chris G'!G14="1 year ext.", "0", 'Chris G'!G14="2 year ext.", "0", 'Chris G'!G14="3 year ext.", 'Chris G'!C14+15, 'Chris G'!G14="Releasing","0")</f>
        <v>35</v>
      </c>
      <c r="L14" s="119"/>
    </row>
    <row r="15" ht="12.75" customHeight="1">
      <c r="A15" s="125" t="s">
        <v>405</v>
      </c>
      <c r="B15" s="176" t="s">
        <v>63</v>
      </c>
      <c r="C15" s="207">
        <v>24.0</v>
      </c>
      <c r="D15" s="166">
        <v>2021.0</v>
      </c>
      <c r="E15" s="167" t="str">
        <f>IFS('Chris G'!G15="1 year ext.", "1 of 1 years (ext.)", 'Chris G'!G15="2 year ext.", "1 of 2 ext.", 'Chris G'!G15="3 year ext.", "1 of 3 ext.", 'Chris G'!G15="Releasing","2 of 2 years")</f>
        <v>1 of 1 years (ext.)</v>
      </c>
      <c r="F15" s="107" t="s">
        <v>320</v>
      </c>
      <c r="G15" s="108" t="s">
        <v>321</v>
      </c>
      <c r="H15" s="232">
        <v>24.0</v>
      </c>
      <c r="I15" s="226">
        <f>IFS('Chris G'!G15="1 year ext.", 'Chris G'!C15+5, 'Chris G'!G15="2 year ext.", 'Chris G'!C15+5, 'Chris G'!G15="3 year ext.", 'Chris G'!C15+5, 'Chris G'!G15="Releasing","0")</f>
        <v>29</v>
      </c>
      <c r="J15" s="226" t="str">
        <f>IFS('Chris G'!G15="1 year ext.", "0", 'Chris G'!G15="2 year ext.", 'Chris G'!C15+10, 'Chris G'!G15="3 year ext.", 'Chris G'!C15+10, 'Chris G'!G15="Releasing","0")</f>
        <v>0</v>
      </c>
      <c r="K15" s="226" t="str">
        <f>IFS('Chris G'!G15="1 year ext.", "0", 'Chris G'!G15="2 year ext.", "0", 'Chris G'!G15="3 year ext.", 'Chris G'!C15+15, 'Chris G'!G15="Releasing","0")</f>
        <v>0</v>
      </c>
      <c r="L15" s="119"/>
    </row>
    <row r="16" ht="12.75" customHeight="1">
      <c r="A16" s="125" t="s">
        <v>406</v>
      </c>
      <c r="B16" s="176" t="s">
        <v>63</v>
      </c>
      <c r="C16" s="207">
        <v>3.0</v>
      </c>
      <c r="D16" s="166">
        <v>2021.0</v>
      </c>
      <c r="E16" s="167" t="str">
        <f>IFS('Chris G'!G16="1 year ext.", "1 of 1 years (ext.)", 'Chris G'!G16="2 year ext.", "1 of 2 ext.", 'Chris G'!G16="3 year ext.", "1 of 3 ext.", 'Chris G'!G16="Releasing","2 of 2 years")</f>
        <v>2 of 2 years</v>
      </c>
      <c r="F16" s="107" t="s">
        <v>320</v>
      </c>
      <c r="G16" s="108" t="s">
        <v>326</v>
      </c>
      <c r="H16" s="232">
        <v>3.0</v>
      </c>
      <c r="I16" s="226" t="str">
        <f>IFS('Chris G'!G16="1 year ext.", 'Chris G'!C16+5, 'Chris G'!G16="2 year ext.", 'Chris G'!C16+5, 'Chris G'!G16="3 year ext.", 'Chris G'!C16+5, 'Chris G'!G16="Releasing","0")</f>
        <v>0</v>
      </c>
      <c r="J16" s="226" t="str">
        <f>IFS('Chris G'!G16="1 year ext.", "0", 'Chris G'!G16="2 year ext.", 'Chris G'!C16+10, 'Chris G'!G16="3 year ext.", 'Chris G'!C16+10, 'Chris G'!G16="Releasing","0")</f>
        <v>0</v>
      </c>
      <c r="K16" s="226" t="str">
        <f>IFS('Chris G'!G16="1 year ext.", "0", 'Chris G'!G16="2 year ext.", "0", 'Chris G'!G16="3 year ext.", 'Chris G'!C16+15, 'Chris G'!G16="Releasing","0")</f>
        <v>0</v>
      </c>
      <c r="L16" s="119"/>
    </row>
    <row r="17" ht="12.75" customHeight="1">
      <c r="A17" s="125" t="s">
        <v>407</v>
      </c>
      <c r="B17" s="176" t="s">
        <v>63</v>
      </c>
      <c r="C17" s="207">
        <v>1.0</v>
      </c>
      <c r="D17" s="166">
        <v>2021.0</v>
      </c>
      <c r="E17" s="167" t="str">
        <f>IFS('Chris G'!G17="1 year ext.", "1 of 1 years (ext.)", 'Chris G'!G17="2 year ext.", "1 of 2 ext.", 'Chris G'!G17="3 year ext.", "1 of 3 ext.", 'Chris G'!G17="Releasing","2 of 2 years")</f>
        <v>2 of 2 years</v>
      </c>
      <c r="F17" s="107" t="s">
        <v>320</v>
      </c>
      <c r="G17" s="108" t="s">
        <v>326</v>
      </c>
      <c r="H17" s="232">
        <v>1.0</v>
      </c>
      <c r="I17" s="226" t="str">
        <f>IFS('Chris G'!G17="1 year ext.", 'Chris G'!C17+5, 'Chris G'!G17="2 year ext.", 'Chris G'!C17+5, 'Chris G'!G17="3 year ext.", 'Chris G'!C17+5, 'Chris G'!G17="Releasing","0")</f>
        <v>0</v>
      </c>
      <c r="J17" s="226" t="str">
        <f>IFS('Chris G'!G17="1 year ext.", "0", 'Chris G'!G17="2 year ext.", 'Chris G'!C17+10, 'Chris G'!G17="3 year ext.", 'Chris G'!C17+10, 'Chris G'!G17="Releasing","0")</f>
        <v>0</v>
      </c>
      <c r="K17" s="226" t="str">
        <f>IFS('Chris G'!G17="1 year ext.", "0", 'Chris G'!G17="2 year ext.", "0", 'Chris G'!G17="3 year ext.", 'Chris G'!C17+15, 'Chris G'!G17="Releasing","0")</f>
        <v>0</v>
      </c>
      <c r="L17" s="127"/>
    </row>
    <row r="18" ht="12.75" customHeight="1">
      <c r="A18" s="125" t="s">
        <v>408</v>
      </c>
      <c r="B18" s="176" t="s">
        <v>63</v>
      </c>
      <c r="C18" s="207">
        <v>1.0</v>
      </c>
      <c r="D18" s="166">
        <v>2021.0</v>
      </c>
      <c r="E18" s="167" t="str">
        <f>IFS('Chris G'!G18="1 year ext.", "1 of 1 years (ext.)", 'Chris G'!G18="2 year ext.", "1 of 2 ext.", 'Chris G'!G18="3 year ext.", "1 of 3 ext.", 'Chris G'!G18="Releasing","2 of 2 years")</f>
        <v>1 of 2 ext.</v>
      </c>
      <c r="F18" s="107" t="s">
        <v>320</v>
      </c>
      <c r="G18" s="108" t="s">
        <v>328</v>
      </c>
      <c r="H18" s="232">
        <v>1.0</v>
      </c>
      <c r="I18" s="226">
        <f>IFS('Chris G'!G18="1 year ext.", 'Chris G'!C18+5, 'Chris G'!G18="2 year ext.", 'Chris G'!C18+5, 'Chris G'!G18="3 year ext.", 'Chris G'!C18+5, 'Chris G'!G18="Releasing","0")</f>
        <v>6</v>
      </c>
      <c r="J18" s="226">
        <f>IFS('Chris G'!G18="1 year ext.", "0", 'Chris G'!G18="2 year ext.", 'Chris G'!C18+10, 'Chris G'!G18="3 year ext.", 'Chris G'!C18+10, 'Chris G'!G18="Releasing","0")</f>
        <v>11</v>
      </c>
      <c r="K18" s="226" t="str">
        <f>IFS('Chris G'!G18="1 year ext.", "0", 'Chris G'!G18="2 year ext.", "0", 'Chris G'!G18="3 year ext.", 'Chris G'!C18+15, 'Chris G'!G18="Releasing","0")</f>
        <v>0</v>
      </c>
      <c r="L18" s="127"/>
    </row>
    <row r="19" ht="12.75" customHeight="1">
      <c r="A19" s="125" t="s">
        <v>409</v>
      </c>
      <c r="B19" s="176" t="s">
        <v>63</v>
      </c>
      <c r="C19" s="207">
        <v>12.0</v>
      </c>
      <c r="D19" s="166">
        <v>2022.0</v>
      </c>
      <c r="E19" s="193" t="s">
        <v>343</v>
      </c>
      <c r="F19" s="107" t="s">
        <v>323</v>
      </c>
      <c r="G19" s="111"/>
      <c r="H19" s="232">
        <v>12.0</v>
      </c>
      <c r="I19" s="208"/>
      <c r="J19" s="129"/>
      <c r="K19" s="129"/>
      <c r="L19" s="127"/>
    </row>
    <row r="20" ht="12.75" customHeight="1">
      <c r="A20" s="125" t="s">
        <v>410</v>
      </c>
      <c r="B20" s="176" t="s">
        <v>63</v>
      </c>
      <c r="C20" s="207">
        <v>8.0</v>
      </c>
      <c r="D20" s="166">
        <v>2022.0</v>
      </c>
      <c r="E20" s="193" t="s">
        <v>343</v>
      </c>
      <c r="F20" s="107" t="s">
        <v>323</v>
      </c>
      <c r="G20" s="111"/>
      <c r="H20" s="232">
        <v>8.0</v>
      </c>
      <c r="I20" s="208"/>
      <c r="J20" s="129"/>
      <c r="K20" s="129"/>
      <c r="L20" s="127"/>
    </row>
    <row r="21" ht="12.75" customHeight="1">
      <c r="A21" s="125"/>
      <c r="B21" s="176"/>
      <c r="C21" s="176"/>
      <c r="D21" s="170"/>
      <c r="E21" s="170"/>
      <c r="F21" s="115"/>
      <c r="G21" s="127"/>
      <c r="H21" s="232"/>
      <c r="I21" s="208"/>
      <c r="J21" s="129"/>
      <c r="K21" s="129"/>
      <c r="L21" s="127"/>
    </row>
    <row r="22" ht="12.75" customHeight="1">
      <c r="A22" s="131" t="s">
        <v>411</v>
      </c>
      <c r="B22" s="177" t="s">
        <v>111</v>
      </c>
      <c r="C22" s="210">
        <v>24.0</v>
      </c>
      <c r="D22" s="166">
        <v>2021.0</v>
      </c>
      <c r="E22" s="167" t="str">
        <f>IFS('Chris G'!G22="1 year ext.", "1 of 1 years (ext.)", 'Chris G'!G22="2 year ext.", "1 of 2 ext.", 'Chris G'!G22="3 year ext.", "1 of 3 ext.", 'Chris G'!G22="Releasing","2 of 2 years")</f>
        <v>1 of 1 years (ext.)</v>
      </c>
      <c r="F22" s="107" t="s">
        <v>320</v>
      </c>
      <c r="G22" s="108" t="s">
        <v>321</v>
      </c>
      <c r="H22" s="233">
        <v>24.0</v>
      </c>
      <c r="I22" s="226">
        <f>IFS('Chris G'!G22="1 year ext.", 'Chris G'!C22+5, 'Chris G'!G22="2 year ext.", 'Chris G'!C22+5, 'Chris G'!G22="3 year ext.", 'Chris G'!C22+5, 'Chris G'!G22="Releasing","0")</f>
        <v>29</v>
      </c>
      <c r="J22" s="226" t="str">
        <f>IFS('Chris G'!G22="1 year ext.", "0", 'Chris G'!G22="2 year ext.", 'Chris G'!C22+10, 'Chris G'!G22="3 year ext.", 'Chris G'!C22+10, 'Chris G'!G22="Releasing","0")</f>
        <v>0</v>
      </c>
      <c r="K22" s="226" t="str">
        <f>IFS('Chris G'!G22="1 year ext.", "0", 'Chris G'!G22="2 year ext.", "0", 'Chris G'!G22="3 year ext.", 'Chris G'!C22+15, 'Chris G'!G22="Releasing","0")</f>
        <v>0</v>
      </c>
      <c r="L22" s="127"/>
    </row>
    <row r="23" ht="12.75" customHeight="1">
      <c r="A23" s="131" t="s">
        <v>412</v>
      </c>
      <c r="B23" s="177" t="s">
        <v>111</v>
      </c>
      <c r="C23" s="210">
        <v>2.0</v>
      </c>
      <c r="D23" s="166">
        <v>2021.0</v>
      </c>
      <c r="E23" s="167" t="str">
        <f>IFS('Chris G'!G23="1 year ext.", "1 of 1 years (ext.)", 'Chris G'!G23="2 year ext.", "1 of 2 ext.", 'Chris G'!G23="3 year ext.", "1 of 3 ext.", 'Chris G'!G23="Releasing","2 of 2 years")</f>
        <v>2 of 2 years</v>
      </c>
      <c r="F23" s="107" t="s">
        <v>320</v>
      </c>
      <c r="G23" s="108" t="s">
        <v>326</v>
      </c>
      <c r="H23" s="233">
        <v>2.0</v>
      </c>
      <c r="I23" s="226" t="str">
        <f>IFS('Chris G'!G23="1 year ext.", 'Chris G'!C23+5, 'Chris G'!G23="2 year ext.", 'Chris G'!C23+5, 'Chris G'!G23="3 year ext.", 'Chris G'!C23+5, 'Chris G'!G23="Releasing","0")</f>
        <v>0</v>
      </c>
      <c r="J23" s="226" t="str">
        <f>IFS('Chris G'!G23="1 year ext.", "0", 'Chris G'!G23="2 year ext.", 'Chris G'!C23+10, 'Chris G'!G23="3 year ext.", 'Chris G'!C23+10, 'Chris G'!G23="Releasing","0")</f>
        <v>0</v>
      </c>
      <c r="K23" s="226" t="str">
        <f>IFS('Chris G'!G23="1 year ext.", "0", 'Chris G'!G23="2 year ext.", "0", 'Chris G'!G23="3 year ext.", 'Chris G'!C23+15, 'Chris G'!G23="Releasing","0")</f>
        <v>0</v>
      </c>
      <c r="L23" s="127"/>
    </row>
    <row r="24" ht="12.75" customHeight="1">
      <c r="A24" s="131" t="s">
        <v>413</v>
      </c>
      <c r="B24" s="177" t="s">
        <v>111</v>
      </c>
      <c r="C24" s="210">
        <v>5.0</v>
      </c>
      <c r="D24" s="166">
        <v>2022.0</v>
      </c>
      <c r="E24" s="193" t="s">
        <v>343</v>
      </c>
      <c r="F24" s="107" t="s">
        <v>323</v>
      </c>
      <c r="G24" s="127"/>
      <c r="H24" s="233">
        <v>5.0</v>
      </c>
      <c r="I24" s="130"/>
      <c r="J24" s="129"/>
      <c r="K24" s="129"/>
      <c r="L24" s="127"/>
    </row>
    <row r="25" ht="12.75" customHeight="1">
      <c r="A25" s="131"/>
      <c r="B25" s="177"/>
      <c r="C25" s="177"/>
      <c r="D25" s="170"/>
      <c r="E25" s="170"/>
      <c r="F25" s="170"/>
      <c r="G25" s="111"/>
      <c r="H25" s="233"/>
      <c r="I25" s="130"/>
      <c r="J25" s="129"/>
      <c r="K25" s="129"/>
      <c r="L25" s="127"/>
    </row>
    <row r="26" ht="12.75" customHeight="1">
      <c r="A26" s="133" t="s">
        <v>414</v>
      </c>
      <c r="B26" s="179" t="s">
        <v>124</v>
      </c>
      <c r="C26" s="234">
        <v>1.0</v>
      </c>
      <c r="D26" s="166">
        <v>2021.0</v>
      </c>
      <c r="E26" s="167" t="str">
        <f>IFS('Chris G'!G26="1 year ext.", "1 of 1 years (ext.)", 'Chris G'!G26="2 year ext.", "1 of 2 ext.", 'Chris G'!G26="3 year ext.", "1 of 3 ext.", 'Chris G'!G26="Releasing","2 of 2 years")</f>
        <v>2 of 2 years</v>
      </c>
      <c r="F26" s="107" t="s">
        <v>320</v>
      </c>
      <c r="G26" s="108" t="s">
        <v>326</v>
      </c>
      <c r="H26" s="235">
        <v>1.0</v>
      </c>
      <c r="I26" s="226" t="str">
        <f>IFS('Chris G'!G26="1 year ext.", 'Chris G'!C26+5, 'Chris G'!G26="2 year ext.", 'Chris G'!C26+5, 'Chris G'!G26="3 year ext.", 'Chris G'!C26+5, 'Chris G'!G26="Releasing","0")</f>
        <v>0</v>
      </c>
      <c r="J26" s="226" t="str">
        <f>IFS('Chris G'!G26="1 year ext.", "0", 'Chris G'!G26="2 year ext.", 'Chris G'!C26+10, 'Chris G'!G26="3 year ext.", 'Chris G'!C26+10, 'Chris G'!G26="Releasing","0")</f>
        <v>0</v>
      </c>
      <c r="K26" s="226" t="str">
        <f>IFS('Chris G'!G26="1 year ext.", "0", 'Chris G'!G26="2 year ext.", "0", 'Chris G'!G26="3 year ext.", 'Chris G'!C26+15, 'Chris G'!G26="Releasing","0")</f>
        <v>0</v>
      </c>
      <c r="L26" s="127"/>
    </row>
    <row r="27" ht="12.75" customHeight="1">
      <c r="A27" s="133" t="s">
        <v>415</v>
      </c>
      <c r="B27" s="179" t="s">
        <v>124</v>
      </c>
      <c r="C27" s="234">
        <v>1.0</v>
      </c>
      <c r="D27" s="166">
        <v>2021.0</v>
      </c>
      <c r="E27" s="167" t="str">
        <f>IFS('Chris G'!G27="1 year ext.", "1 of 1 years (ext.)", 'Chris G'!G27="2 year ext.", "1 of 2 ext.", 'Chris G'!G27="3 year ext.", "1 of 3 ext.", 'Chris G'!G27="Releasing","2 of 2 years")</f>
        <v>2 of 2 years</v>
      </c>
      <c r="F27" s="107" t="s">
        <v>320</v>
      </c>
      <c r="G27" s="108" t="s">
        <v>326</v>
      </c>
      <c r="H27" s="235">
        <v>1.0</v>
      </c>
      <c r="I27" s="226" t="str">
        <f>IFS('Chris G'!G27="1 year ext.", 'Chris G'!C27+5, 'Chris G'!G27="2 year ext.", 'Chris G'!C27+5, 'Chris G'!G27="3 year ext.", 'Chris G'!C27+5, 'Chris G'!G27="Releasing","0")</f>
        <v>0</v>
      </c>
      <c r="J27" s="226" t="str">
        <f>IFS('Chris G'!G27="1 year ext.", "0", 'Chris G'!G27="2 year ext.", 'Chris G'!C27+10, 'Chris G'!G27="3 year ext.", 'Chris G'!C27+10, 'Chris G'!G27="Releasing","0")</f>
        <v>0</v>
      </c>
      <c r="K27" s="226" t="str">
        <f>IFS('Chris G'!G27="1 year ext.", "0", 'Chris G'!G27="2 year ext.", "0", 'Chris G'!G27="3 year ext.", 'Chris G'!C27+15, 'Chris G'!G27="Releasing","0")</f>
        <v>0</v>
      </c>
      <c r="L27" s="127"/>
    </row>
    <row r="28" ht="12.75" customHeight="1">
      <c r="A28" s="135" t="s">
        <v>136</v>
      </c>
      <c r="B28" s="180" t="s">
        <v>133</v>
      </c>
      <c r="C28" s="214">
        <v>1.0</v>
      </c>
      <c r="D28" s="166">
        <v>2021.0</v>
      </c>
      <c r="E28" s="167" t="str">
        <f>IFS('Chris G'!G28="1 year ext.", "1 of 1 years (ext.)", 'Chris G'!G28="2 year ext.", "1 of 2 ext.", 'Chris G'!G28="3 year ext.", "1 of 3 ext.", 'Chris G'!G28="Releasing","2 of 2 years")</f>
        <v>2 of 2 years</v>
      </c>
      <c r="F28" s="107" t="s">
        <v>320</v>
      </c>
      <c r="G28" s="108" t="s">
        <v>326</v>
      </c>
      <c r="H28" s="236">
        <v>1.0</v>
      </c>
      <c r="I28" s="226" t="str">
        <f>IFS('Chris G'!G28="1 year ext.", 'Chris G'!C28+5, 'Chris G'!G28="2 year ext.", 'Chris G'!C28+5, 'Chris G'!G28="3 year ext.", 'Chris G'!C28+5, 'Chris G'!G28="Releasing","0")</f>
        <v>0</v>
      </c>
      <c r="J28" s="226" t="str">
        <f>IFS('Chris G'!G28="1 year ext.", "0", 'Chris G'!G28="2 year ext.", 'Chris G'!C28+10, 'Chris G'!G28="3 year ext.", 'Chris G'!C28+10, 'Chris G'!G28="Releasing","0")</f>
        <v>0</v>
      </c>
      <c r="K28" s="226" t="str">
        <f>IFS('Chris G'!G28="1 year ext.", "0", 'Chris G'!G28="2 year ext.", "0", 'Chris G'!G28="3 year ext.", 'Chris G'!C28+15, 'Chris G'!G28="Releasing","0")</f>
        <v>0</v>
      </c>
      <c r="L28" s="127"/>
    </row>
    <row r="29" ht="12.75" customHeight="1">
      <c r="A29" s="135" t="s">
        <v>140</v>
      </c>
      <c r="B29" s="180" t="s">
        <v>133</v>
      </c>
      <c r="C29" s="214">
        <v>1.0</v>
      </c>
      <c r="D29" s="166">
        <v>2021.0</v>
      </c>
      <c r="E29" s="167" t="str">
        <f>IFS('Chris G'!G29="1 year ext.", "1 of 1 years (ext.)", 'Chris G'!G29="2 year ext.", "1 of 2 ext.", 'Chris G'!G29="3 year ext.", "1 of 3 ext.", 'Chris G'!G29="Releasing","2 of 2 years")</f>
        <v>2 of 2 years</v>
      </c>
      <c r="F29" s="107" t="s">
        <v>320</v>
      </c>
      <c r="G29" s="108" t="s">
        <v>326</v>
      </c>
      <c r="H29" s="236">
        <v>1.0</v>
      </c>
      <c r="I29" s="226" t="str">
        <f>IFS('Chris G'!G29="1 year ext.", 'Chris G'!C29+5, 'Chris G'!G29="2 year ext.", 'Chris G'!C29+5, 'Chris G'!G29="3 year ext.", 'Chris G'!C29+5, 'Chris G'!G29="Releasing","0")</f>
        <v>0</v>
      </c>
      <c r="J29" s="226" t="str">
        <f>IFS('Chris G'!G29="1 year ext.", "0", 'Chris G'!G29="2 year ext.", 'Chris G'!C29+10, 'Chris G'!G29="3 year ext.", 'Chris G'!C29+10, 'Chris G'!G29="Releasing","0")</f>
        <v>0</v>
      </c>
      <c r="K29" s="226" t="str">
        <f>IFS('Chris G'!G29="1 year ext.", "0", 'Chris G'!G29="2 year ext.", "0", 'Chris G'!G29="3 year ext.", 'Chris G'!C29+15, 'Chris G'!G29="Releasing","0")</f>
        <v>0</v>
      </c>
      <c r="L29" s="127"/>
    </row>
    <row r="30" ht="12.75" customHeight="1">
      <c r="A30" s="216"/>
      <c r="B30" s="170"/>
      <c r="C30" s="170"/>
      <c r="D30" s="170"/>
      <c r="E30" s="170"/>
      <c r="F30" s="107"/>
      <c r="G30" s="111"/>
      <c r="H30" s="236"/>
      <c r="I30" s="237"/>
      <c r="J30" s="129"/>
      <c r="K30" s="129"/>
      <c r="L30" s="127"/>
    </row>
    <row r="31" ht="12.75" customHeight="1">
      <c r="A31" s="140" t="s">
        <v>341</v>
      </c>
      <c r="B31" s="141"/>
      <c r="C31" s="141"/>
      <c r="D31" s="238"/>
      <c r="E31" s="238"/>
      <c r="F31" s="238"/>
      <c r="G31" s="141"/>
      <c r="H31" s="144"/>
      <c r="I31" s="144"/>
      <c r="J31" s="144"/>
      <c r="K31" s="144"/>
      <c r="L31" s="141"/>
    </row>
    <row r="32" ht="12.75" customHeight="1">
      <c r="A32" s="146" t="s">
        <v>416</v>
      </c>
      <c r="B32" s="147"/>
      <c r="C32" s="148"/>
      <c r="D32" s="239">
        <v>2021.0</v>
      </c>
      <c r="E32" s="238" t="s">
        <v>343</v>
      </c>
      <c r="F32" s="219"/>
      <c r="G32" s="141"/>
      <c r="H32" s="143">
        <v>15.0</v>
      </c>
      <c r="I32" s="143"/>
      <c r="J32" s="144"/>
      <c r="K32" s="144"/>
      <c r="L32" s="141"/>
    </row>
    <row r="33" ht="12.75" customHeight="1">
      <c r="A33" s="146"/>
      <c r="B33" s="147"/>
      <c r="C33" s="141"/>
      <c r="D33" s="238"/>
      <c r="E33" s="238"/>
      <c r="F33" s="219"/>
      <c r="G33" s="141"/>
      <c r="H33" s="144"/>
      <c r="I33" s="144"/>
      <c r="J33" s="144"/>
      <c r="K33" s="144"/>
      <c r="L33" s="141"/>
    </row>
    <row r="34" ht="12.75" customHeight="1">
      <c r="A34" s="146"/>
      <c r="B34" s="147"/>
      <c r="C34" s="141"/>
      <c r="D34" s="238"/>
      <c r="E34" s="238"/>
      <c r="F34" s="219"/>
      <c r="G34" s="141"/>
      <c r="H34" s="144"/>
      <c r="I34" s="144"/>
      <c r="J34" s="144"/>
      <c r="K34" s="144"/>
      <c r="L34" s="141"/>
    </row>
    <row r="35" ht="12.75" customHeight="1">
      <c r="A35" s="146"/>
      <c r="B35" s="147"/>
      <c r="C35" s="141"/>
      <c r="D35" s="238"/>
      <c r="E35" s="238"/>
      <c r="F35" s="219"/>
      <c r="G35" s="141"/>
      <c r="H35" s="144"/>
      <c r="I35" s="144"/>
      <c r="J35" s="144"/>
      <c r="K35" s="144"/>
      <c r="L35" s="141"/>
    </row>
    <row r="36" ht="12.75" customHeight="1">
      <c r="A36" s="146"/>
      <c r="B36" s="147"/>
      <c r="C36" s="141"/>
      <c r="D36" s="238"/>
      <c r="E36" s="238"/>
      <c r="F36" s="219"/>
      <c r="G36" s="141"/>
      <c r="H36" s="144"/>
      <c r="I36" s="144"/>
      <c r="J36" s="144"/>
      <c r="K36" s="144"/>
      <c r="L36" s="141"/>
    </row>
    <row r="37" ht="12.75" customHeight="1">
      <c r="A37" s="146"/>
      <c r="B37" s="147"/>
      <c r="C37" s="141"/>
      <c r="D37" s="238"/>
      <c r="E37" s="238"/>
      <c r="F37" s="219"/>
      <c r="G37" s="141"/>
      <c r="H37" s="144"/>
      <c r="I37" s="144"/>
      <c r="J37" s="144"/>
      <c r="K37" s="144"/>
      <c r="L37" s="141"/>
    </row>
    <row r="38" ht="12.75" customHeight="1">
      <c r="A38" s="146"/>
      <c r="B38" s="147"/>
      <c r="C38" s="141"/>
      <c r="D38" s="238"/>
      <c r="E38" s="238"/>
      <c r="F38" s="219"/>
      <c r="G38" s="141"/>
      <c r="H38" s="144"/>
      <c r="I38" s="144"/>
      <c r="J38" s="144"/>
      <c r="K38" s="144"/>
      <c r="L38" s="141"/>
    </row>
    <row r="39" ht="12.75" customHeight="1">
      <c r="A39" s="146"/>
      <c r="B39" s="147"/>
      <c r="C39" s="141"/>
      <c r="D39" s="238"/>
      <c r="E39" s="238"/>
      <c r="F39" s="219"/>
      <c r="G39" s="141"/>
      <c r="H39" s="144"/>
      <c r="I39" s="144"/>
      <c r="J39" s="144"/>
      <c r="K39" s="144"/>
      <c r="L39" s="141"/>
    </row>
    <row r="40" ht="12.75" customHeight="1">
      <c r="A40" s="146"/>
      <c r="B40" s="147"/>
      <c r="C40" s="141"/>
      <c r="D40" s="238"/>
      <c r="E40" s="238"/>
      <c r="F40" s="219"/>
      <c r="G40" s="141"/>
      <c r="H40" s="144"/>
      <c r="I40" s="144"/>
      <c r="J40" s="144"/>
      <c r="K40" s="144"/>
      <c r="L40" s="141"/>
    </row>
    <row r="41" ht="12.75" customHeight="1">
      <c r="A41" s="185"/>
      <c r="B41" s="98"/>
      <c r="C41" s="186"/>
      <c r="D41" s="222"/>
      <c r="E41" s="222"/>
      <c r="F41" s="240"/>
      <c r="H41" s="241"/>
      <c r="I41" s="241"/>
      <c r="J41" s="241"/>
      <c r="K41" s="241"/>
    </row>
    <row r="42" ht="12.75" customHeight="1">
      <c r="A42" s="220" t="s">
        <v>349</v>
      </c>
      <c r="B42" s="220"/>
      <c r="C42" s="154">
        <f>SUM('Chris G'!C3:'Chris G'!C40)</f>
        <v>186</v>
      </c>
      <c r="D42" s="220"/>
      <c r="E42" s="220"/>
      <c r="F42" s="242"/>
      <c r="G42" s="243"/>
      <c r="H42" s="154">
        <f>SUM('Chris G'!H3:'Chris G'!H40)</f>
        <v>201</v>
      </c>
      <c r="I42" s="154">
        <f>SUM('Chris G'!I3:'Chris G'!I40)</f>
        <v>184</v>
      </c>
      <c r="J42" s="154">
        <f>SUM('Chris G'!J3:'Chris G'!J40)</f>
        <v>92</v>
      </c>
      <c r="K42" s="154">
        <f>SUM('Chris G'!K3:'Chris G'!K40)</f>
        <v>35</v>
      </c>
      <c r="L42" s="243"/>
    </row>
    <row r="43" ht="12.75" customHeight="1">
      <c r="A43" s="222" t="s">
        <v>350</v>
      </c>
      <c r="B43" s="222"/>
      <c r="C43" s="223">
        <f>250-'Chris G'!C42</f>
        <v>64</v>
      </c>
      <c r="D43" s="222"/>
      <c r="E43" s="222"/>
      <c r="F43" s="240"/>
      <c r="G43" s="244"/>
      <c r="H43" s="189">
        <f>250-'Chris G'!H42</f>
        <v>49</v>
      </c>
      <c r="I43" s="189">
        <f>250-'Chris G'!I42</f>
        <v>66</v>
      </c>
      <c r="J43" s="189">
        <f>250-'Chris G'!J42</f>
        <v>158</v>
      </c>
      <c r="K43" s="189">
        <f>250-'Chris G'!K42</f>
        <v>215</v>
      </c>
      <c r="L43" s="244"/>
    </row>
    <row r="44" ht="12.75" customHeight="1"/>
    <row r="45" ht="12.75" customHeight="1">
      <c r="E45" s="245"/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</sheetData>
  <dataValidations>
    <dataValidation type="list" allowBlank="1" showErrorMessage="1" sqref="G3:G4 G6:G7 G9:G11 G14:G18 G22:G23 G26:G29">
      <formula1>"1 year ext.,2 year ext.,3 year ext.,Releasing"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7" width="19.86"/>
    <col customWidth="1" min="8" max="12" width="16.71"/>
    <col customWidth="1" min="13" max="32" width="8.86"/>
  </cols>
  <sheetData>
    <row r="1" ht="12.75" customHeight="1">
      <c r="A1" s="97" t="s">
        <v>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ht="12.75" customHeight="1">
      <c r="A2" s="100" t="s">
        <v>7</v>
      </c>
      <c r="B2" s="101" t="s">
        <v>308</v>
      </c>
      <c r="C2" s="101" t="s">
        <v>351</v>
      </c>
      <c r="D2" s="101" t="s">
        <v>310</v>
      </c>
      <c r="E2" s="101" t="s">
        <v>352</v>
      </c>
      <c r="F2" s="163" t="s">
        <v>312</v>
      </c>
      <c r="G2" s="164" t="s">
        <v>313</v>
      </c>
      <c r="H2" s="164" t="s">
        <v>314</v>
      </c>
      <c r="I2" s="190" t="s">
        <v>315</v>
      </c>
      <c r="J2" s="190" t="s">
        <v>316</v>
      </c>
      <c r="K2" s="190" t="s">
        <v>317</v>
      </c>
      <c r="L2" s="101" t="s">
        <v>318</v>
      </c>
    </row>
    <row r="3" ht="12.75" customHeight="1">
      <c r="A3" s="103" t="s">
        <v>417</v>
      </c>
      <c r="B3" s="165" t="s">
        <v>9</v>
      </c>
      <c r="C3" s="192">
        <v>7.0</v>
      </c>
      <c r="D3" s="192">
        <v>2021.0</v>
      </c>
      <c r="E3" s="170" t="str">
        <f>IFS('Colby L'!G3="1 year ext.", "1 of 1 years (ext.)", 'Colby L'!G3="2 year ext.", "1 of 2 years (ext.)", 'Colby L'!G3="3 year ext.", "1 of 3 years (ext.)", 'Colby L'!G3="Releasing","2 of 2 years")</f>
        <v>2 of 2 years</v>
      </c>
      <c r="F3" s="112" t="s">
        <v>320</v>
      </c>
      <c r="G3" s="168" t="s">
        <v>326</v>
      </c>
      <c r="H3" s="105">
        <v>7.0</v>
      </c>
      <c r="I3" s="197" t="str">
        <f>IFS('Colby L'!G3="1 year ext.", 'Colby L'!C3+5, 'Colby L'!G3="2 year ext.", 'Colby L'!C3+5, 'Colby L'!G3="3 year ext.", 'Colby L'!C3+5, 'Colby L'!G3="Releasing","0")</f>
        <v>0</v>
      </c>
      <c r="J3" s="110" t="str">
        <f>IFS('Colby L'!G3="1 year ext.", "0", 'Colby L'!G3="2 year ext.", 'Colby L'!C3+10, 'Colby L'!G3="3 year ext.", 'Colby L'!C3+10, 'Colby L'!G3="Releasing","0")</f>
        <v>0</v>
      </c>
      <c r="K3" s="110" t="str">
        <f>IFS('Colby L'!G3="1 year ext.", "0", 'Colby L'!G3="2 year ext.", "0", 'Colby L'!G3="3 year ext.", 'Colby L'!C3+15, 'Colby L'!G3="Releasing","0")</f>
        <v>0</v>
      </c>
      <c r="L3" s="165"/>
      <c r="M3" s="196" t="s">
        <v>129</v>
      </c>
    </row>
    <row r="4" ht="12.75" customHeight="1">
      <c r="A4" s="103" t="s">
        <v>418</v>
      </c>
      <c r="B4" s="165" t="s">
        <v>9</v>
      </c>
      <c r="C4" s="192">
        <v>1.0</v>
      </c>
      <c r="D4" s="192">
        <v>2021.0</v>
      </c>
      <c r="E4" s="170" t="str">
        <f>IFS('Colby L'!G4="1 year ext.", "1 of 1 years (ext.)", 'Colby L'!G4="2 year ext.", "1 of 2 years (ext.)", 'Colby L'!G4="3 year ext.", "1 of 3 years (ext.)", 'Colby L'!G4="Releasing","2 of 2 years")</f>
        <v>1 of 2 years (ext.)</v>
      </c>
      <c r="F4" s="112" t="s">
        <v>320</v>
      </c>
      <c r="G4" s="168" t="s">
        <v>328</v>
      </c>
      <c r="H4" s="105">
        <v>1.0</v>
      </c>
      <c r="I4" s="197">
        <f>IFS('Colby L'!G4="1 year ext.", 'Colby L'!C4+5, 'Colby L'!G4="2 year ext.", 'Colby L'!C4+5, 'Colby L'!G4="3 year ext.", 'Colby L'!C4+5, 'Colby L'!G4="Releasing","0")</f>
        <v>6</v>
      </c>
      <c r="J4" s="110">
        <f>IFS('Colby L'!G4="1 year ext.", "0", 'Colby L'!G4="2 year ext.", 'Colby L'!C4+10, 'Colby L'!G4="3 year ext.", 'Colby L'!C4+10, 'Colby L'!G4="Releasing","0")</f>
        <v>11</v>
      </c>
      <c r="K4" s="110" t="str">
        <f>IFS('Colby L'!G4="1 year ext.", "0", 'Colby L'!G4="2 year ext.", "0", 'Colby L'!G4="3 year ext.", 'Colby L'!C4+15, 'Colby L'!G4="Releasing","0")</f>
        <v>0</v>
      </c>
      <c r="L4" s="165"/>
      <c r="M4" s="196"/>
    </row>
    <row r="5" ht="12.75" customHeight="1">
      <c r="A5" s="103"/>
      <c r="B5" s="165"/>
      <c r="C5" s="165"/>
      <c r="D5" s="165"/>
      <c r="E5" s="172"/>
      <c r="F5" s="165"/>
      <c r="G5" s="165"/>
      <c r="H5" s="105"/>
      <c r="I5" s="165"/>
      <c r="J5" s="165"/>
      <c r="K5" s="165"/>
      <c r="L5" s="165"/>
      <c r="M5" s="196" t="s">
        <v>129</v>
      </c>
    </row>
    <row r="6" ht="12.75" customHeight="1">
      <c r="A6" s="117" t="s">
        <v>419</v>
      </c>
      <c r="B6" s="172" t="s">
        <v>24</v>
      </c>
      <c r="C6" s="203">
        <v>44.0</v>
      </c>
      <c r="D6" s="203">
        <v>2021.0</v>
      </c>
      <c r="E6" s="170" t="str">
        <f>IFS('Colby L'!G6="1 year ext.", "1 of 1 years (ext.)", 'Colby L'!G6="2 year ext.", "1 of 2 years (ext.)", 'Colby L'!G6="3 year ext.", "1 of 3 years (ext.)", 'Colby L'!G6="Releasing","2 of 2 years")</f>
        <v>1 of 2 years (ext.)</v>
      </c>
      <c r="F6" s="112" t="s">
        <v>320</v>
      </c>
      <c r="G6" s="168" t="s">
        <v>328</v>
      </c>
      <c r="H6" s="105">
        <v>44.0</v>
      </c>
      <c r="I6" s="197">
        <f>IFS('Colby L'!G6="1 year ext.", 'Colby L'!C6+5, 'Colby L'!G6="2 year ext.", 'Colby L'!C6+5, 'Colby L'!G6="3 year ext.", 'Colby L'!C6+5, 'Colby L'!G6="Releasing","0")</f>
        <v>49</v>
      </c>
      <c r="J6" s="110">
        <f>IFS('Colby L'!G6="1 year ext.", "0", 'Colby L'!G6="2 year ext.", 'Colby L'!C6+10, 'Colby L'!G6="3 year ext.", 'Colby L'!C6+10, 'Colby L'!G6="Releasing","0")</f>
        <v>54</v>
      </c>
      <c r="K6" s="110" t="str">
        <f>IFS('Colby L'!G6="1 year ext.", "0", 'Colby L'!G6="2 year ext.", "0", 'Colby L'!G6="3 year ext.", 'Colby L'!C6+15, 'Colby L'!G6="Releasing","0")</f>
        <v>0</v>
      </c>
      <c r="L6" s="200"/>
      <c r="M6" s="199" t="s">
        <v>129</v>
      </c>
    </row>
    <row r="7" ht="12.75" customHeight="1">
      <c r="A7" s="117" t="s">
        <v>420</v>
      </c>
      <c r="B7" s="172" t="s">
        <v>24</v>
      </c>
      <c r="C7" s="203">
        <v>30.0</v>
      </c>
      <c r="D7" s="203">
        <v>2021.0</v>
      </c>
      <c r="E7" s="170" t="str">
        <f>IFS('Colby L'!G7="1 year ext.", "1 of 1 years (ext.)", 'Colby L'!G7="2 year ext.", "1 of 2 years (ext.)", 'Colby L'!G7="3 year ext.", "1 of 3 years (ext.)", 'Colby L'!G7="Releasing","2 of 2 years")</f>
        <v>2 of 2 years</v>
      </c>
      <c r="F7" s="112" t="s">
        <v>320</v>
      </c>
      <c r="G7" s="168" t="s">
        <v>326</v>
      </c>
      <c r="H7" s="105">
        <v>30.0</v>
      </c>
      <c r="I7" s="197" t="str">
        <f>IFS('Colby L'!G7="1 year ext.", 'Colby L'!C7+5, 'Colby L'!G7="2 year ext.", 'Colby L'!C7+5, 'Colby L'!G7="3 year ext.", 'Colby L'!C7+5, 'Colby L'!G7="Releasing","0")</f>
        <v>0</v>
      </c>
      <c r="J7" s="110" t="str">
        <f>IFS('Colby L'!G7="1 year ext.", "0", 'Colby L'!G7="2 year ext.", 'Colby L'!C7+10, 'Colby L'!G7="3 year ext.", 'Colby L'!C7+10, 'Colby L'!G7="Releasing","0")</f>
        <v>0</v>
      </c>
      <c r="K7" s="110" t="str">
        <f>IFS('Colby L'!G7="1 year ext.", "0", 'Colby L'!G7="2 year ext.", "0", 'Colby L'!G7="3 year ext.", 'Colby L'!C7+15, 'Colby L'!G7="Releasing","0")</f>
        <v>0</v>
      </c>
      <c r="L7" s="172"/>
      <c r="M7" s="196" t="s">
        <v>129</v>
      </c>
    </row>
    <row r="8" ht="12.75" customHeight="1">
      <c r="A8" s="117" t="s">
        <v>421</v>
      </c>
      <c r="B8" s="172" t="s">
        <v>24</v>
      </c>
      <c r="C8" s="203">
        <v>30.0</v>
      </c>
      <c r="D8" s="203">
        <v>2021.0</v>
      </c>
      <c r="E8" s="170" t="str">
        <f>IFS('Colby L'!G8="1 year ext.", "1 of 1 years (ext.)", 'Colby L'!G8="2 year ext.", "1 of 2 years (ext.)", 'Colby L'!G8="3 year ext.", "1 of 3 years (ext.)", 'Colby L'!G8="Releasing","2 of 2 years")</f>
        <v>1 of 2 years (ext.)</v>
      </c>
      <c r="F8" s="112" t="s">
        <v>320</v>
      </c>
      <c r="G8" s="168" t="s">
        <v>328</v>
      </c>
      <c r="H8" s="105">
        <v>30.0</v>
      </c>
      <c r="I8" s="197">
        <f>IFS('Colby L'!G8="1 year ext.", 'Colby L'!C8+5, 'Colby L'!G8="2 year ext.", 'Colby L'!C8+5, 'Colby L'!G8="3 year ext.", 'Colby L'!C8+5, 'Colby L'!G8="Releasing","0")</f>
        <v>35</v>
      </c>
      <c r="J8" s="110">
        <f>IFS('Colby L'!G8="1 year ext.", "0", 'Colby L'!G8="2 year ext.", 'Colby L'!C8+10, 'Colby L'!G8="3 year ext.", 'Colby L'!C8+10, 'Colby L'!G8="Releasing","0")</f>
        <v>40</v>
      </c>
      <c r="K8" s="110" t="str">
        <f>IFS('Colby L'!G8="1 year ext.", "0", 'Colby L'!G8="2 year ext.", "0", 'Colby L'!G8="3 year ext.", 'Colby L'!C8+15, 'Colby L'!G8="Releasing","0")</f>
        <v>0</v>
      </c>
      <c r="L8" s="172"/>
      <c r="M8" s="196" t="s">
        <v>371</v>
      </c>
    </row>
    <row r="9" ht="12.75" customHeight="1">
      <c r="A9" s="117" t="s">
        <v>422</v>
      </c>
      <c r="B9" s="172" t="s">
        <v>24</v>
      </c>
      <c r="C9" s="203">
        <v>5.0</v>
      </c>
      <c r="D9" s="203">
        <v>2021.0</v>
      </c>
      <c r="E9" s="170" t="str">
        <f>IFS('Colby L'!G9="1 year ext.", "1 of 1 years (ext.)", 'Colby L'!G9="2 year ext.", "1 of 2 years (ext.)", 'Colby L'!G9="3 year ext.", "1 of 3 years (ext.)", 'Colby L'!G9="Releasing","2 of 2 years")</f>
        <v>2 of 2 years</v>
      </c>
      <c r="F9" s="112" t="s">
        <v>320</v>
      </c>
      <c r="G9" s="168" t="s">
        <v>326</v>
      </c>
      <c r="H9" s="105">
        <v>5.0</v>
      </c>
      <c r="I9" s="197" t="str">
        <f>IFS('Colby L'!G9="1 year ext.", 'Colby L'!C9+5, 'Colby L'!G9="2 year ext.", 'Colby L'!C9+5, 'Colby L'!G9="3 year ext.", 'Colby L'!C9+5, 'Colby L'!G9="Releasing","0")</f>
        <v>0</v>
      </c>
      <c r="J9" s="110" t="str">
        <f>IFS('Colby L'!G9="1 year ext.", "0", 'Colby L'!G9="2 year ext.", 'Colby L'!C9+10, 'Colby L'!G9="3 year ext.", 'Colby L'!C9+10, 'Colby L'!G9="Releasing","0")</f>
        <v>0</v>
      </c>
      <c r="K9" s="110" t="str">
        <f>IFS('Colby L'!G9="1 year ext.", "0", 'Colby L'!G9="2 year ext.", "0", 'Colby L'!G9="3 year ext.", 'Colby L'!C9+15, 'Colby L'!G9="Releasing","0")</f>
        <v>0</v>
      </c>
      <c r="L9" s="172"/>
      <c r="M9" s="199"/>
    </row>
    <row r="10" ht="12.75" customHeight="1">
      <c r="A10" s="117" t="s">
        <v>46</v>
      </c>
      <c r="B10" s="172" t="s">
        <v>24</v>
      </c>
      <c r="C10" s="203">
        <v>5.0</v>
      </c>
      <c r="D10" s="203">
        <v>2021.0</v>
      </c>
      <c r="E10" s="170" t="str">
        <f>IFS('Colby L'!G10="1 year ext.", "1 of 1 years (ext.)", 'Colby L'!G10="2 year ext.", "1 of 2 years (ext.)", 'Colby L'!G10="3 year ext.", "1 of 3 years (ext.)", 'Colby L'!G10="Releasing","2 of 2 years")</f>
        <v>2 of 2 years</v>
      </c>
      <c r="F10" s="112" t="s">
        <v>320</v>
      </c>
      <c r="G10" s="168" t="s">
        <v>326</v>
      </c>
      <c r="H10" s="105">
        <v>5.0</v>
      </c>
      <c r="I10" s="197" t="str">
        <f>IFS('Colby L'!G10="1 year ext.", 'Colby L'!C10+5, 'Colby L'!G10="2 year ext.", 'Colby L'!C10+5, 'Colby L'!G10="3 year ext.", 'Colby L'!C10+5, 'Colby L'!G10="Releasing","0")</f>
        <v>0</v>
      </c>
      <c r="J10" s="110" t="str">
        <f>IFS('Colby L'!G10="1 year ext.", "0", 'Colby L'!G10="2 year ext.", 'Colby L'!C10+10, 'Colby L'!G10="3 year ext.", 'Colby L'!C10+10, 'Colby L'!G10="Releasing","0")</f>
        <v>0</v>
      </c>
      <c r="K10" s="110" t="str">
        <f>IFS('Colby L'!G10="1 year ext.", "0", 'Colby L'!G10="2 year ext.", "0", 'Colby L'!G10="3 year ext.", 'Colby L'!C10+15, 'Colby L'!G10="Releasing","0")</f>
        <v>0</v>
      </c>
      <c r="L10" s="172"/>
      <c r="M10" s="199" t="s">
        <v>129</v>
      </c>
    </row>
    <row r="11" ht="12.75" customHeight="1">
      <c r="A11" s="117" t="s">
        <v>423</v>
      </c>
      <c r="B11" s="172" t="s">
        <v>24</v>
      </c>
      <c r="C11" s="203">
        <v>4.0</v>
      </c>
      <c r="D11" s="203">
        <v>2021.0</v>
      </c>
      <c r="E11" s="170" t="str">
        <f>IFS('Colby L'!G11="1 year ext.", "1 of 1 years (ext.)", 'Colby L'!G11="2 year ext.", "1 of 2 years (ext.)", 'Colby L'!G11="3 year ext.", "1 of 3 years (ext.)", 'Colby L'!G11="Releasing","2 of 2 years")</f>
        <v>2 of 2 years</v>
      </c>
      <c r="F11" s="112" t="s">
        <v>320</v>
      </c>
      <c r="G11" s="168" t="s">
        <v>326</v>
      </c>
      <c r="H11" s="105">
        <v>4.0</v>
      </c>
      <c r="I11" s="197" t="str">
        <f>IFS('Colby L'!G11="1 year ext.", 'Colby L'!C11+5, 'Colby L'!G11="2 year ext.", 'Colby L'!C11+5, 'Colby L'!G11="3 year ext.", 'Colby L'!C11+5, 'Colby L'!G11="Releasing","0")</f>
        <v>0</v>
      </c>
      <c r="J11" s="110" t="str">
        <f>IFS('Colby L'!G11="1 year ext.", "0", 'Colby L'!G11="2 year ext.", 'Colby L'!C11+10, 'Colby L'!G11="3 year ext.", 'Colby L'!C11+10, 'Colby L'!G11="Releasing","0")</f>
        <v>0</v>
      </c>
      <c r="K11" s="110" t="str">
        <f>IFS('Colby L'!G11="1 year ext.", "0", 'Colby L'!G11="2 year ext.", "0", 'Colby L'!G11="3 year ext.", 'Colby L'!C11+15, 'Colby L'!G11="Releasing","0")</f>
        <v>0</v>
      </c>
      <c r="L11" s="172"/>
    </row>
    <row r="12" ht="12.75" customHeight="1">
      <c r="A12" s="117" t="s">
        <v>60</v>
      </c>
      <c r="B12" s="172" t="s">
        <v>24</v>
      </c>
      <c r="C12" s="203">
        <v>12.0</v>
      </c>
      <c r="D12" s="203">
        <v>2022.0</v>
      </c>
      <c r="E12" s="193" t="s">
        <v>322</v>
      </c>
      <c r="F12" s="112" t="s">
        <v>323</v>
      </c>
      <c r="G12" s="172"/>
      <c r="H12" s="105">
        <v>12.0</v>
      </c>
      <c r="I12" s="105">
        <v>12.0</v>
      </c>
      <c r="J12" s="172"/>
      <c r="K12" s="172"/>
      <c r="L12" s="172"/>
    </row>
    <row r="13" ht="12.75" customHeight="1">
      <c r="A13" s="117" t="s">
        <v>424</v>
      </c>
      <c r="B13" s="172" t="s">
        <v>24</v>
      </c>
      <c r="C13" s="203">
        <v>4.0</v>
      </c>
      <c r="D13" s="203">
        <v>2022.0</v>
      </c>
      <c r="E13" s="193" t="s">
        <v>322</v>
      </c>
      <c r="F13" s="112" t="s">
        <v>323</v>
      </c>
      <c r="G13" s="172"/>
      <c r="H13" s="105">
        <v>4.0</v>
      </c>
      <c r="I13" s="105">
        <v>4.0</v>
      </c>
      <c r="J13" s="172"/>
      <c r="K13" s="172"/>
      <c r="L13" s="172"/>
    </row>
    <row r="14" ht="12.75" customHeight="1">
      <c r="A14" s="117"/>
      <c r="B14" s="172"/>
      <c r="C14" s="203"/>
      <c r="D14" s="203"/>
      <c r="E14" s="193"/>
      <c r="F14" s="112"/>
      <c r="G14" s="172"/>
      <c r="H14" s="105"/>
      <c r="I14" s="172"/>
      <c r="J14" s="172"/>
      <c r="K14" s="172"/>
      <c r="L14" s="172"/>
      <c r="M14" s="199" t="s">
        <v>129</v>
      </c>
    </row>
    <row r="15" ht="12.75" customHeight="1">
      <c r="A15" s="117"/>
      <c r="B15" s="172"/>
      <c r="C15" s="172"/>
      <c r="D15" s="172"/>
      <c r="E15" s="172"/>
      <c r="F15" s="172"/>
      <c r="G15" s="172"/>
      <c r="H15" s="105"/>
      <c r="I15" s="172"/>
      <c r="J15" s="172"/>
      <c r="K15" s="172"/>
      <c r="L15" s="172"/>
      <c r="M15" s="199"/>
    </row>
    <row r="16" ht="12.75" customHeight="1">
      <c r="A16" s="123" t="s">
        <v>425</v>
      </c>
      <c r="B16" s="175" t="s">
        <v>63</v>
      </c>
      <c r="C16" s="205">
        <v>27.0</v>
      </c>
      <c r="D16" s="205">
        <v>2021.0</v>
      </c>
      <c r="E16" s="170" t="str">
        <f>IFS('Colby L'!G16="1 year ext.", "1 of 1 years (ext.)", 'Colby L'!G16="2 year ext.", "1 of 2 years (ext.)", 'Colby L'!G16="3 year ext.", "1 of 3 years (ext.)", 'Colby L'!G16="Releasing","2 of 2 years")</f>
        <v>1 of 2 years (ext.)</v>
      </c>
      <c r="F16" s="112" t="s">
        <v>320</v>
      </c>
      <c r="G16" s="168" t="s">
        <v>328</v>
      </c>
      <c r="H16" s="105">
        <v>27.0</v>
      </c>
      <c r="I16" s="197">
        <f>IFS('Colby L'!G16="1 year ext.", 'Colby L'!C16+5, 'Colby L'!G16="2 year ext.", 'Colby L'!C16+5, 'Colby L'!G16="3 year ext.", 'Colby L'!C16+5, 'Colby L'!G16="Releasing","0")</f>
        <v>32</v>
      </c>
      <c r="J16" s="110">
        <f>IFS('Colby L'!G16="1 year ext.", "0", 'Colby L'!G16="2 year ext.", 'Colby L'!C16+10, 'Colby L'!G16="3 year ext.", 'Colby L'!C16+10, 'Colby L'!G16="Releasing","0")</f>
        <v>37</v>
      </c>
      <c r="K16" s="110" t="str">
        <f>IFS('Colby L'!G16="1 year ext.", "0", 'Colby L'!G16="2 year ext.", "0", 'Colby L'!G16="3 year ext.", 'Colby L'!C16+15, 'Colby L'!G16="Releasing","0")</f>
        <v>0</v>
      </c>
      <c r="L16" s="176"/>
      <c r="M16" s="199"/>
    </row>
    <row r="17" ht="12.75" customHeight="1">
      <c r="A17" s="125" t="s">
        <v>426</v>
      </c>
      <c r="B17" s="176" t="s">
        <v>63</v>
      </c>
      <c r="C17" s="207">
        <v>16.0</v>
      </c>
      <c r="D17" s="205">
        <v>2021.0</v>
      </c>
      <c r="E17" s="170" t="str">
        <f>IFS('Colby L'!G17="1 year ext.", "1 of 1 years (ext.)", 'Colby L'!G17="2 year ext.", "1 of 2 years (ext.)", 'Colby L'!G17="3 year ext.", "1 of 3 years (ext.)", 'Colby L'!G17="Releasing","2 of 2 years")</f>
        <v>2 of 2 years</v>
      </c>
      <c r="F17" s="112" t="s">
        <v>320</v>
      </c>
      <c r="G17" s="168" t="s">
        <v>326</v>
      </c>
      <c r="H17" s="105">
        <v>16.0</v>
      </c>
      <c r="I17" s="197" t="str">
        <f>IFS('Colby L'!G17="1 year ext.", 'Colby L'!C17+5, 'Colby L'!G17="2 year ext.", 'Colby L'!C17+5, 'Colby L'!G17="3 year ext.", 'Colby L'!C17+5, 'Colby L'!G17="Releasing","0")</f>
        <v>0</v>
      </c>
      <c r="J17" s="110" t="str">
        <f>IFS('Colby L'!G17="1 year ext.", "0", 'Colby L'!G17="2 year ext.", 'Colby L'!C17+10, 'Colby L'!G17="3 year ext.", 'Colby L'!C17+10, 'Colby L'!G17="Releasing","0")</f>
        <v>0</v>
      </c>
      <c r="K17" s="110" t="str">
        <f>IFS('Colby L'!G17="1 year ext.", "0", 'Colby L'!G17="2 year ext.", "0", 'Colby L'!G17="3 year ext.", 'Colby L'!C17+15, 'Colby L'!G17="Releasing","0")</f>
        <v>0</v>
      </c>
      <c r="L17" s="176"/>
      <c r="M17" s="196" t="s">
        <v>129</v>
      </c>
    </row>
    <row r="18" ht="12.75" customHeight="1">
      <c r="A18" s="125" t="s">
        <v>427</v>
      </c>
      <c r="B18" s="176" t="s">
        <v>63</v>
      </c>
      <c r="C18" s="207">
        <v>14.0</v>
      </c>
      <c r="D18" s="205">
        <v>2021.0</v>
      </c>
      <c r="E18" s="170" t="str">
        <f>IFS('Colby L'!G18="1 year ext.", "1 of 1 years (ext.)", 'Colby L'!G18="2 year ext.", "1 of 2 years (ext.)", 'Colby L'!G18="3 year ext.", "1 of 3 years (ext.)", 'Colby L'!G18="Releasing","2 of 2 years")</f>
        <v>1 of 2 years (ext.)</v>
      </c>
      <c r="F18" s="112" t="s">
        <v>320</v>
      </c>
      <c r="G18" s="168" t="s">
        <v>328</v>
      </c>
      <c r="H18" s="105">
        <v>14.0</v>
      </c>
      <c r="I18" s="197">
        <f>IFS('Colby L'!G18="1 year ext.", 'Colby L'!C18+5, 'Colby L'!G18="2 year ext.", 'Colby L'!C18+5, 'Colby L'!G18="3 year ext.", 'Colby L'!C18+5, 'Colby L'!G18="Releasing","0")</f>
        <v>19</v>
      </c>
      <c r="J18" s="110">
        <f>IFS('Colby L'!G18="1 year ext.", "0", 'Colby L'!G18="2 year ext.", 'Colby L'!C18+10, 'Colby L'!G18="3 year ext.", 'Colby L'!C18+10, 'Colby L'!G18="Releasing","0")</f>
        <v>24</v>
      </c>
      <c r="K18" s="110" t="str">
        <f>IFS('Colby L'!G18="1 year ext.", "0", 'Colby L'!G18="2 year ext.", "0", 'Colby L'!G18="3 year ext.", 'Colby L'!C18+15, 'Colby L'!G18="Releasing","0")</f>
        <v>0</v>
      </c>
      <c r="L18" s="176"/>
      <c r="M18" s="196"/>
    </row>
    <row r="19" ht="12.75" customHeight="1">
      <c r="A19" s="125"/>
      <c r="B19" s="176"/>
      <c r="C19" s="207"/>
      <c r="D19" s="205"/>
      <c r="E19" s="170"/>
      <c r="F19" s="112"/>
      <c r="G19" s="168" t="s">
        <v>326</v>
      </c>
      <c r="H19" s="105"/>
      <c r="I19" s="197" t="str">
        <f>IFS('Colby L'!G19="1 year ext.", 'Colby L'!C19+5, 'Colby L'!G19="2 year ext.", 'Colby L'!C19+5, 'Colby L'!G19="3 year ext.", 'Colby L'!C19+5, 'Colby L'!G19="Releasing","0")</f>
        <v>0</v>
      </c>
      <c r="J19" s="110" t="str">
        <f>IFS('Colby L'!G19="1 year ext.", "0", 'Colby L'!G19="2 year ext.", 'Colby L'!C19+10, 'Colby L'!G19="3 year ext.", 'Colby L'!C19+10, 'Colby L'!G19="Releasing","0")</f>
        <v>0</v>
      </c>
      <c r="K19" s="110" t="str">
        <f>IFS('Colby L'!G19="1 year ext.", "0", 'Colby L'!G19="2 year ext.", "0", 'Colby L'!G19="3 year ext.", 'Colby L'!C19+15, 'Colby L'!G19="Releasing","0")</f>
        <v>0</v>
      </c>
      <c r="L19" s="176"/>
      <c r="M19" s="196"/>
    </row>
    <row r="20" ht="12.75" customHeight="1">
      <c r="A20" s="123" t="s">
        <v>428</v>
      </c>
      <c r="B20" s="176" t="s">
        <v>63</v>
      </c>
      <c r="C20" s="207">
        <v>1.0</v>
      </c>
      <c r="D20" s="205">
        <v>2021.0</v>
      </c>
      <c r="E20" s="170" t="str">
        <f>IFS('Colby L'!G20="1 year ext.", "1 of 1 years (ext.)", 'Colby L'!G20="2 year ext.", "1 of 2 years (ext.)", 'Colby L'!G20="3 year ext.", "1 of 3 years (ext.)", 'Colby L'!G20="Releasing","2 of 2 years")</f>
        <v>1 of 3 years (ext.)</v>
      </c>
      <c r="F20" s="112" t="s">
        <v>320</v>
      </c>
      <c r="G20" s="168" t="s">
        <v>331</v>
      </c>
      <c r="H20" s="105">
        <v>1.0</v>
      </c>
      <c r="I20" s="197">
        <f>IFS('Colby L'!G20="1 year ext.", 'Colby L'!C20+5, 'Colby L'!G20="2 year ext.", 'Colby L'!C20+5, 'Colby L'!G20="3 year ext.", 'Colby L'!C20+5, 'Colby L'!G20="Releasing","0")</f>
        <v>6</v>
      </c>
      <c r="J20" s="110">
        <f>IFS('Colby L'!G20="1 year ext.", "0", 'Colby L'!G20="2 year ext.", 'Colby L'!C20+10, 'Colby L'!G20="3 year ext.", 'Colby L'!C20+10, 'Colby L'!G20="Releasing","0")</f>
        <v>11</v>
      </c>
      <c r="K20" s="110">
        <f>IFS('Colby L'!G20="1 year ext.", "0", 'Colby L'!G20="2 year ext.", "0", 'Colby L'!G20="3 year ext.", 'Colby L'!C20+15, 'Colby L'!G20="Releasing","0")</f>
        <v>16</v>
      </c>
      <c r="L20" s="176"/>
      <c r="M20" s="196"/>
    </row>
    <row r="21" ht="12.75" customHeight="1">
      <c r="A21" s="123" t="s">
        <v>304</v>
      </c>
      <c r="B21" s="176" t="s">
        <v>63</v>
      </c>
      <c r="C21" s="207">
        <v>7.0</v>
      </c>
      <c r="D21" s="205">
        <v>2022.0</v>
      </c>
      <c r="E21" s="193" t="s">
        <v>322</v>
      </c>
      <c r="F21" s="112" t="s">
        <v>323</v>
      </c>
      <c r="G21" s="176"/>
      <c r="H21" s="105">
        <v>7.0</v>
      </c>
      <c r="I21" s="105">
        <v>7.0</v>
      </c>
      <c r="J21" s="176"/>
      <c r="K21" s="176"/>
      <c r="L21" s="176"/>
      <c r="M21" s="196"/>
    </row>
    <row r="22" ht="12.75" customHeight="1">
      <c r="A22" s="123" t="s">
        <v>417</v>
      </c>
      <c r="B22" s="176" t="s">
        <v>63</v>
      </c>
      <c r="C22" s="207">
        <v>1.0</v>
      </c>
      <c r="D22" s="205">
        <v>2021.0</v>
      </c>
      <c r="E22" s="170" t="str">
        <f>IFS('Colby L'!G22="1 year ext.", "1 of 1 years (ext.)", 'Colby L'!G22="2 year ext.", "1 of 2 years (ext.)", 'Colby L'!G22="3 year ext.", "1 of 3 years (ext.)", 'Colby L'!G22="Releasing","2 of 2 years")</f>
        <v>2 of 2 years</v>
      </c>
      <c r="F22" s="112" t="s">
        <v>320</v>
      </c>
      <c r="G22" s="168" t="s">
        <v>326</v>
      </c>
      <c r="H22" s="105">
        <v>1.0</v>
      </c>
      <c r="I22" s="197" t="str">
        <f>IFS('Colby L'!G22="1 year ext.", 'Colby L'!C22+5, 'Colby L'!G22="2 year ext.", 'Colby L'!C22+5, 'Colby L'!G22="3 year ext.", 'Colby L'!C22+5, 'Colby L'!G22="Releasing","0")</f>
        <v>0</v>
      </c>
      <c r="J22" s="110" t="str">
        <f>IFS('Colby L'!G22="1 year ext.", "0", 'Colby L'!G22="2 year ext.", 'Colby L'!C22+10, 'Colby L'!G22="3 year ext.", 'Colby L'!C22+10, 'Colby L'!G22="Releasing","0")</f>
        <v>0</v>
      </c>
      <c r="K22" s="110" t="str">
        <f>IFS('Colby L'!G22="1 year ext.", "0", 'Colby L'!G22="2 year ext.", "0", 'Colby L'!G22="3 year ext.", 'Colby L'!C22+15, 'Colby L'!G22="Releasing","0")</f>
        <v>0</v>
      </c>
      <c r="L22" s="176"/>
      <c r="M22" s="196"/>
    </row>
    <row r="23" ht="12.75" customHeight="1">
      <c r="A23" s="125" t="s">
        <v>429</v>
      </c>
      <c r="B23" s="176" t="s">
        <v>63</v>
      </c>
      <c r="C23" s="207">
        <v>1.0</v>
      </c>
      <c r="D23" s="205">
        <v>2021.0</v>
      </c>
      <c r="E23" s="170" t="str">
        <f>IFS('Colby L'!G23="1 year ext.", "1 of 1 years (ext.)", 'Colby L'!G23="2 year ext.", "1 of 2 years (ext.)", 'Colby L'!G23="3 year ext.", "1 of 3 years (ext.)", 'Colby L'!G23="Releasing","2 of 2 years")</f>
        <v>2 of 2 years</v>
      </c>
      <c r="F23" s="112" t="s">
        <v>320</v>
      </c>
      <c r="G23" s="168" t="s">
        <v>326</v>
      </c>
      <c r="H23" s="105">
        <v>1.0</v>
      </c>
      <c r="I23" s="197" t="str">
        <f>IFS('Colby L'!G23="1 year ext.", 'Colby L'!C23+5, 'Colby L'!G23="2 year ext.", 'Colby L'!C23+5, 'Colby L'!G23="3 year ext.", 'Colby L'!C23+5, 'Colby L'!G23="Releasing","0")</f>
        <v>0</v>
      </c>
      <c r="J23" s="110" t="str">
        <f>IFS('Colby L'!G23="1 year ext.", "0", 'Colby L'!G23="2 year ext.", 'Colby L'!C23+10, 'Colby L'!G23="3 year ext.", 'Colby L'!C23+10, 'Colby L'!G23="Releasing","0")</f>
        <v>0</v>
      </c>
      <c r="K23" s="110" t="str">
        <f>IFS('Colby L'!G23="1 year ext.", "0", 'Colby L'!G23="2 year ext.", "0", 'Colby L'!G23="3 year ext.", 'Colby L'!C23+15, 'Colby L'!G23="Releasing","0")</f>
        <v>0</v>
      </c>
      <c r="L23" s="176"/>
      <c r="M23" s="196" t="s">
        <v>129</v>
      </c>
    </row>
    <row r="24" ht="12.75" customHeight="1">
      <c r="A24" s="125" t="s">
        <v>430</v>
      </c>
      <c r="B24" s="176" t="s">
        <v>63</v>
      </c>
      <c r="C24" s="207">
        <v>4.0</v>
      </c>
      <c r="D24" s="205">
        <v>2022.0</v>
      </c>
      <c r="E24" s="193" t="s">
        <v>322</v>
      </c>
      <c r="F24" s="112" t="s">
        <v>323</v>
      </c>
      <c r="G24" s="176"/>
      <c r="H24" s="105">
        <v>4.0</v>
      </c>
      <c r="I24" s="105">
        <v>4.0</v>
      </c>
      <c r="J24" s="176"/>
      <c r="K24" s="176"/>
      <c r="L24" s="176"/>
      <c r="M24" s="196" t="s">
        <v>129</v>
      </c>
    </row>
    <row r="25" ht="12.75" customHeight="1">
      <c r="A25" s="125"/>
      <c r="B25" s="176"/>
      <c r="C25" s="207"/>
      <c r="D25" s="205"/>
      <c r="E25" s="193"/>
      <c r="F25" s="112"/>
      <c r="G25" s="176"/>
      <c r="H25" s="105"/>
      <c r="I25" s="105"/>
      <c r="J25" s="176"/>
      <c r="K25" s="176"/>
      <c r="L25" s="176"/>
      <c r="M25" s="196"/>
    </row>
    <row r="26" ht="12.75" customHeight="1">
      <c r="A26" s="125"/>
      <c r="B26" s="176"/>
      <c r="C26" s="176"/>
      <c r="D26" s="175"/>
      <c r="E26" s="172"/>
      <c r="F26" s="176"/>
      <c r="G26" s="176"/>
      <c r="H26" s="105"/>
      <c r="I26" s="176"/>
      <c r="J26" s="176"/>
      <c r="K26" s="176"/>
      <c r="L26" s="176"/>
      <c r="M26" s="196"/>
    </row>
    <row r="27" ht="12.75" customHeight="1">
      <c r="A27" s="131" t="s">
        <v>431</v>
      </c>
      <c r="B27" s="177" t="s">
        <v>111</v>
      </c>
      <c r="C27" s="210">
        <v>7.0</v>
      </c>
      <c r="D27" s="210">
        <v>2021.0</v>
      </c>
      <c r="E27" s="170" t="str">
        <f>IFS('Colby L'!G27="1 year ext.", "1 of 1 years (ext.)", 'Colby L'!G27="2 year ext.", "1 of 2 years (ext.)", 'Colby L'!G27="3 year ext.", "1 of 3 years (ext.)", 'Colby L'!G27="Releasing","2 of 2 years")</f>
        <v>2 of 2 years</v>
      </c>
      <c r="F27" s="112" t="s">
        <v>320</v>
      </c>
      <c r="G27" s="168" t="s">
        <v>326</v>
      </c>
      <c r="H27" s="105">
        <v>7.0</v>
      </c>
      <c r="I27" s="197" t="str">
        <f>IFS('Colby L'!G27="1 year ext.", 'Colby L'!C27+5, 'Colby L'!G27="2 year ext.", 'Colby L'!C27+5, 'Colby L'!G27="3 year ext.", 'Colby L'!C27+5, 'Colby L'!G27="Releasing","0")</f>
        <v>0</v>
      </c>
      <c r="J27" s="110" t="str">
        <f>IFS('Colby L'!G27="1 year ext.", "0", 'Colby L'!G27="2 year ext.", 'Colby L'!C27+10, 'Colby L'!G27="3 year ext.", 'Colby L'!C27+10, 'Colby L'!G27="Releasing","0")</f>
        <v>0</v>
      </c>
      <c r="K27" s="110" t="str">
        <f>IFS('Colby L'!G27="1 year ext.", "0", 'Colby L'!G27="2 year ext.", "0", 'Colby L'!G27="3 year ext.", 'Colby L'!C27+15, 'Colby L'!G27="Releasing","0")</f>
        <v>0</v>
      </c>
      <c r="L27" s="177"/>
      <c r="M27" s="196" t="s">
        <v>371</v>
      </c>
    </row>
    <row r="28" ht="12.75" customHeight="1">
      <c r="A28" s="178" t="s">
        <v>432</v>
      </c>
      <c r="B28" s="177" t="s">
        <v>111</v>
      </c>
      <c r="C28" s="210">
        <v>6.0</v>
      </c>
      <c r="D28" s="210">
        <v>2022.0</v>
      </c>
      <c r="E28" s="193" t="s">
        <v>322</v>
      </c>
      <c r="F28" s="112" t="s">
        <v>323</v>
      </c>
      <c r="G28" s="177"/>
      <c r="H28" s="105">
        <v>6.0</v>
      </c>
      <c r="I28" s="105">
        <v>6.0</v>
      </c>
      <c r="J28" s="177"/>
      <c r="K28" s="177"/>
      <c r="L28" s="177"/>
      <c r="M28" s="196" t="s">
        <v>129</v>
      </c>
    </row>
    <row r="29" ht="12.75" customHeight="1">
      <c r="A29" s="131"/>
      <c r="B29" s="177"/>
      <c r="C29" s="177"/>
      <c r="D29" s="177"/>
      <c r="E29" s="172"/>
      <c r="F29" s="177"/>
      <c r="G29" s="177"/>
      <c r="H29" s="105"/>
      <c r="I29" s="177"/>
      <c r="J29" s="177"/>
      <c r="K29" s="177"/>
      <c r="L29" s="177"/>
      <c r="M29" s="196"/>
    </row>
    <row r="30" ht="12.75" customHeight="1">
      <c r="A30" s="133" t="s">
        <v>433</v>
      </c>
      <c r="B30" s="179" t="s">
        <v>124</v>
      </c>
      <c r="C30" s="234">
        <v>1.0</v>
      </c>
      <c r="D30" s="234">
        <v>2021.0</v>
      </c>
      <c r="E30" s="170" t="str">
        <f>IFS('Colby L'!G30="1 year ext.", "1 of 1 years (ext.)", 'Colby L'!G30="2 year ext.", "1 of 2 years (ext.)", 'Colby L'!G30="3 year ext.", "1 of 3 years (ext.)", 'Colby L'!G30="Releasing","2 of 2 years")</f>
        <v>2 of 2 years</v>
      </c>
      <c r="F30" s="112" t="s">
        <v>320</v>
      </c>
      <c r="G30" s="168" t="s">
        <v>326</v>
      </c>
      <c r="H30" s="105">
        <v>1.0</v>
      </c>
      <c r="I30" s="197" t="str">
        <f>IFS('Colby L'!G30="1 year ext.", 'Colby L'!C30+5, 'Colby L'!G30="2 year ext.", 'Colby L'!C30+5, 'Colby L'!G30="3 year ext.", 'Colby L'!C30+5, 'Colby L'!G30="Releasing","0")</f>
        <v>0</v>
      </c>
      <c r="J30" s="110" t="str">
        <f>IFS('Colby L'!G30="1 year ext.", "0", 'Colby L'!G30="2 year ext.", 'Colby L'!C30+10, 'Colby L'!G30="3 year ext.", 'Colby L'!C30+10, 'Colby L'!G30="Releasing","0")</f>
        <v>0</v>
      </c>
      <c r="K30" s="110" t="str">
        <f>IFS('Colby L'!G30="1 year ext.", "0", 'Colby L'!G30="2 year ext.", "0", 'Colby L'!G30="3 year ext.", 'Colby L'!C30+15, 'Colby L'!G30="Releasing","0")</f>
        <v>0</v>
      </c>
      <c r="L30" s="179"/>
      <c r="M30" s="199" t="s">
        <v>129</v>
      </c>
    </row>
    <row r="31" ht="12.75" customHeight="1">
      <c r="A31" s="133" t="s">
        <v>434</v>
      </c>
      <c r="B31" s="179" t="s">
        <v>124</v>
      </c>
      <c r="C31" s="234">
        <v>4.0</v>
      </c>
      <c r="D31" s="234">
        <v>2022.0</v>
      </c>
      <c r="E31" s="193" t="s">
        <v>322</v>
      </c>
      <c r="F31" s="112" t="s">
        <v>323</v>
      </c>
      <c r="G31" s="179"/>
      <c r="H31" s="105">
        <v>4.0</v>
      </c>
      <c r="I31" s="105">
        <v>4.0</v>
      </c>
      <c r="J31" s="179"/>
      <c r="K31" s="179"/>
      <c r="L31" s="179"/>
      <c r="M31" s="196" t="s">
        <v>129</v>
      </c>
    </row>
    <row r="32" ht="12.75" customHeight="1">
      <c r="A32" s="133"/>
      <c r="B32" s="179"/>
      <c r="C32" s="179"/>
      <c r="D32" s="179"/>
      <c r="E32" s="172"/>
      <c r="F32" s="179"/>
      <c r="G32" s="179"/>
      <c r="H32" s="105"/>
      <c r="I32" s="179"/>
      <c r="J32" s="179"/>
      <c r="K32" s="179"/>
      <c r="L32" s="179"/>
      <c r="M32" s="196" t="s">
        <v>129</v>
      </c>
    </row>
    <row r="33" ht="12.75" customHeight="1">
      <c r="A33" s="135" t="s">
        <v>137</v>
      </c>
      <c r="B33" s="180" t="s">
        <v>133</v>
      </c>
      <c r="C33" s="214">
        <v>2.0</v>
      </c>
      <c r="D33" s="214">
        <v>2021.0</v>
      </c>
      <c r="E33" s="170" t="str">
        <f>IFS('Colby L'!G33="1 year ext.", "1 of 1 years (ext.)", 'Colby L'!G33="2 year ext.", "1 of 2 years (ext.)", 'Colby L'!G33="3 year ext.", "1 of 3 years (ext.)", 'Colby L'!G33="Releasing","2 of 2 years")</f>
        <v>2 of 2 years</v>
      </c>
      <c r="F33" s="112" t="s">
        <v>320</v>
      </c>
      <c r="G33" s="168" t="s">
        <v>326</v>
      </c>
      <c r="H33" s="105">
        <v>2.0</v>
      </c>
      <c r="I33" s="197" t="str">
        <f>IFS('Colby L'!G33="1 year ext.", 'Colby L'!C33+5, 'Colby L'!G33="2 year ext.", 'Colby L'!C33+5, 'Colby L'!G33="3 year ext.", 'Colby L'!C33+5, 'Colby L'!G33="Releasing","0")</f>
        <v>0</v>
      </c>
      <c r="J33" s="110" t="str">
        <f>IFS('Colby L'!G33="1 year ext.", "0", 'Colby L'!G33="2 year ext.", 'Colby L'!C33+10, 'Colby L'!G33="3 year ext.", 'Colby L'!C33+10, 'Colby L'!G33="Releasing","0")</f>
        <v>0</v>
      </c>
      <c r="K33" s="110" t="str">
        <f>IFS('Colby L'!G33="1 year ext.", "0", 'Colby L'!G33="2 year ext.", "0", 'Colby L'!G33="3 year ext.", 'Colby L'!C33+15, 'Colby L'!G33="Releasing","0")</f>
        <v>0</v>
      </c>
      <c r="L33" s="180"/>
      <c r="M33" s="196" t="s">
        <v>129</v>
      </c>
    </row>
    <row r="34" ht="12.75" customHeight="1">
      <c r="A34" s="135"/>
      <c r="B34" s="180"/>
      <c r="C34" s="180"/>
      <c r="D34" s="180"/>
      <c r="E34" s="172"/>
      <c r="F34" s="180"/>
      <c r="G34" s="180"/>
      <c r="H34" s="180"/>
      <c r="I34" s="180"/>
      <c r="J34" s="180"/>
      <c r="K34" s="180"/>
      <c r="L34" s="180"/>
      <c r="M34" s="196" t="s">
        <v>129</v>
      </c>
    </row>
    <row r="35" ht="12.75" customHeight="1">
      <c r="A35" s="216"/>
      <c r="B35" s="170"/>
      <c r="C35" s="170"/>
      <c r="D35" s="170"/>
      <c r="E35" s="172"/>
      <c r="F35" s="170"/>
      <c r="G35" s="170"/>
      <c r="H35" s="170"/>
      <c r="I35" s="170"/>
      <c r="J35" s="170"/>
      <c r="K35" s="170"/>
      <c r="L35" s="170"/>
    </row>
    <row r="36" ht="12.75" customHeight="1">
      <c r="A36" s="140" t="s">
        <v>341</v>
      </c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</row>
    <row r="37" ht="12.75" customHeight="1">
      <c r="A37" s="146" t="s">
        <v>435</v>
      </c>
      <c r="B37" s="147"/>
      <c r="C37" s="148"/>
      <c r="D37" s="148">
        <v>2021.0</v>
      </c>
      <c r="E37" s="141" t="s">
        <v>343</v>
      </c>
      <c r="F37" s="141"/>
      <c r="G37" s="141"/>
      <c r="H37" s="246">
        <v>1.0</v>
      </c>
      <c r="I37" s="141"/>
      <c r="J37" s="141"/>
      <c r="K37" s="141"/>
      <c r="L37" s="141"/>
    </row>
    <row r="38" ht="12.75" customHeight="1">
      <c r="A38" s="146" t="s">
        <v>150</v>
      </c>
      <c r="B38" s="147"/>
      <c r="C38" s="148"/>
      <c r="D38" s="148">
        <v>2021.0</v>
      </c>
      <c r="E38" s="141" t="s">
        <v>343</v>
      </c>
      <c r="F38" s="141"/>
      <c r="G38" s="141"/>
      <c r="H38" s="247">
        <v>1.0</v>
      </c>
      <c r="I38" s="141"/>
      <c r="J38" s="141"/>
      <c r="K38" s="141"/>
      <c r="L38" s="141"/>
    </row>
    <row r="39" ht="12.75" customHeight="1">
      <c r="A39" s="146" t="s">
        <v>160</v>
      </c>
      <c r="B39" s="147"/>
      <c r="C39" s="148"/>
      <c r="D39" s="148">
        <v>2021.0</v>
      </c>
      <c r="E39" s="141" t="s">
        <v>343</v>
      </c>
      <c r="F39" s="141"/>
      <c r="G39" s="141"/>
      <c r="H39" s="247">
        <v>1.0</v>
      </c>
      <c r="I39" s="141"/>
      <c r="J39" s="141"/>
      <c r="K39" s="141"/>
      <c r="L39" s="141"/>
    </row>
    <row r="40" ht="12.75" customHeight="1">
      <c r="A40" s="146" t="s">
        <v>82</v>
      </c>
      <c r="B40" s="147"/>
      <c r="C40" s="148"/>
      <c r="D40" s="148">
        <v>2021.0</v>
      </c>
      <c r="E40" s="141" t="s">
        <v>343</v>
      </c>
      <c r="F40" s="141"/>
      <c r="G40" s="141"/>
      <c r="H40" s="247">
        <v>1.0</v>
      </c>
      <c r="I40" s="141"/>
      <c r="J40" s="141"/>
      <c r="K40" s="141"/>
      <c r="L40" s="141"/>
    </row>
    <row r="41" ht="12.75" customHeight="1">
      <c r="A41" s="146" t="s">
        <v>60</v>
      </c>
      <c r="B41" s="147"/>
      <c r="C41" s="148"/>
      <c r="D41" s="148">
        <v>2021.0</v>
      </c>
      <c r="E41" s="141" t="s">
        <v>343</v>
      </c>
      <c r="F41" s="141"/>
      <c r="G41" s="141"/>
      <c r="H41" s="247">
        <v>1.0</v>
      </c>
      <c r="I41" s="141"/>
      <c r="J41" s="141"/>
      <c r="K41" s="141"/>
      <c r="L41" s="141"/>
    </row>
    <row r="42" ht="12.75" customHeight="1">
      <c r="A42" s="146" t="s">
        <v>92</v>
      </c>
      <c r="B42" s="147" t="s">
        <v>63</v>
      </c>
      <c r="C42" s="141">
        <v>3.0</v>
      </c>
      <c r="D42" s="141">
        <v>2021.0</v>
      </c>
      <c r="E42" s="141" t="s">
        <v>343</v>
      </c>
      <c r="F42" s="141"/>
      <c r="G42" s="141"/>
      <c r="H42" s="248">
        <v>2.0</v>
      </c>
      <c r="I42" s="141"/>
      <c r="J42" s="141"/>
      <c r="K42" s="141"/>
      <c r="L42" s="141"/>
    </row>
    <row r="43" ht="12.75" customHeight="1">
      <c r="A43" s="146" t="s">
        <v>436</v>
      </c>
      <c r="B43" s="147" t="s">
        <v>24</v>
      </c>
      <c r="C43" s="141">
        <v>3.0</v>
      </c>
      <c r="D43" s="141">
        <v>2022.0</v>
      </c>
      <c r="E43" s="141" t="s">
        <v>322</v>
      </c>
      <c r="F43" s="141"/>
      <c r="G43" s="141"/>
      <c r="H43" s="248">
        <v>2.0</v>
      </c>
      <c r="I43" s="248">
        <v>2.0</v>
      </c>
      <c r="J43" s="141"/>
      <c r="K43" s="141"/>
      <c r="L43" s="141"/>
    </row>
    <row r="44" ht="12.75" customHeight="1">
      <c r="A44" s="146" t="s">
        <v>417</v>
      </c>
      <c r="B44" s="147" t="s">
        <v>63</v>
      </c>
      <c r="C44" s="141">
        <v>1.0</v>
      </c>
      <c r="D44" s="141">
        <v>2021.0</v>
      </c>
      <c r="E44" s="141"/>
      <c r="F44" s="141"/>
      <c r="G44" s="141"/>
      <c r="H44" s="141"/>
      <c r="I44" s="141"/>
      <c r="J44" s="141"/>
      <c r="K44" s="141"/>
      <c r="L44" s="141"/>
    </row>
    <row r="45" ht="12.75" customHeight="1">
      <c r="A45" s="146" t="s">
        <v>429</v>
      </c>
      <c r="B45" s="147" t="s">
        <v>63</v>
      </c>
      <c r="C45" s="141">
        <v>1.0</v>
      </c>
      <c r="D45" s="141">
        <v>2021.0</v>
      </c>
      <c r="E45" s="141"/>
      <c r="F45" s="141"/>
      <c r="G45" s="141"/>
      <c r="H45" s="141"/>
      <c r="I45" s="141"/>
      <c r="J45" s="141"/>
      <c r="K45" s="141"/>
      <c r="L45" s="141"/>
    </row>
    <row r="46" ht="12.75" customHeight="1">
      <c r="A46" s="146" t="s">
        <v>437</v>
      </c>
      <c r="B46" s="147" t="s">
        <v>63</v>
      </c>
      <c r="C46" s="141">
        <v>2.0</v>
      </c>
      <c r="D46" s="141">
        <v>2022.0</v>
      </c>
      <c r="E46" s="141"/>
      <c r="F46" s="141"/>
      <c r="G46" s="141"/>
      <c r="H46" s="248">
        <v>1.0</v>
      </c>
      <c r="I46" s="248">
        <v>1.0</v>
      </c>
      <c r="J46" s="141"/>
      <c r="K46" s="141"/>
      <c r="L46" s="141"/>
    </row>
    <row r="47" ht="12.75" customHeight="1">
      <c r="A47" s="185"/>
      <c r="B47" s="98"/>
      <c r="C47" s="186"/>
      <c r="D47" s="98"/>
      <c r="E47" s="98"/>
      <c r="F47" s="98"/>
      <c r="G47" s="98"/>
      <c r="H47" s="98"/>
      <c r="I47" s="98"/>
      <c r="J47" s="98"/>
      <c r="K47" s="98"/>
      <c r="L47" s="98"/>
    </row>
    <row r="48" ht="12.75" customHeight="1">
      <c r="A48" s="153" t="s">
        <v>349</v>
      </c>
      <c r="B48" s="153"/>
      <c r="C48" s="249">
        <f>SUM('Colby L'!C3:C46)</f>
        <v>243</v>
      </c>
      <c r="D48" s="153"/>
      <c r="E48" s="153"/>
      <c r="F48" s="153"/>
      <c r="G48" s="153"/>
      <c r="H48" s="249">
        <f>SUM('Colby L'!H3:H46)</f>
        <v>243</v>
      </c>
      <c r="I48" s="249">
        <f>SUM('Colby L'!I3:I46)</f>
        <v>187</v>
      </c>
      <c r="J48" s="249">
        <f>SUM('Colby L'!J3:J46)</f>
        <v>177</v>
      </c>
      <c r="K48" s="249">
        <f>SUM('Colby L'!K3:K46)</f>
        <v>16</v>
      </c>
      <c r="L48" s="156"/>
    </row>
    <row r="49" ht="12.75" customHeight="1">
      <c r="A49" s="159" t="s">
        <v>350</v>
      </c>
      <c r="B49" s="159"/>
      <c r="C49" s="250">
        <f>(250-'Colby L'!C48)</f>
        <v>7</v>
      </c>
      <c r="D49" s="159"/>
      <c r="E49" s="159"/>
      <c r="F49" s="159"/>
      <c r="G49" s="159"/>
      <c r="H49" s="250">
        <f>(250-'Colby L'!H48)</f>
        <v>7</v>
      </c>
      <c r="I49" s="250">
        <f>(250-'Colby L'!I48)</f>
        <v>63</v>
      </c>
      <c r="J49" s="250">
        <f>(250-'Colby L'!J48)</f>
        <v>73</v>
      </c>
      <c r="K49" s="250">
        <f>(250-'Colby L'!K48)</f>
        <v>234</v>
      </c>
      <c r="L49" s="98"/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dataValidations>
    <dataValidation type="list" allowBlank="1" showErrorMessage="1" sqref="G3:G4 G6:G11 G16:G20 G22:G23 G27 G30 G33">
      <formula1>"1 year ext.,2 year ext.,3 year ext.,Releasing"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7" width="19.86"/>
    <col customWidth="1" min="8" max="12" width="16.71"/>
    <col customWidth="1" min="13" max="32" width="8.86"/>
  </cols>
  <sheetData>
    <row r="1" ht="12.75" customHeight="1">
      <c r="A1" s="97" t="s">
        <v>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ht="12.75" customHeight="1">
      <c r="A2" s="100" t="s">
        <v>7</v>
      </c>
      <c r="B2" s="101" t="s">
        <v>308</v>
      </c>
      <c r="C2" s="101" t="s">
        <v>351</v>
      </c>
      <c r="D2" s="101" t="s">
        <v>310</v>
      </c>
      <c r="E2" s="101" t="s">
        <v>352</v>
      </c>
      <c r="F2" s="163" t="s">
        <v>312</v>
      </c>
      <c r="G2" s="164" t="s">
        <v>313</v>
      </c>
      <c r="H2" s="164" t="s">
        <v>314</v>
      </c>
      <c r="I2" s="190" t="s">
        <v>315</v>
      </c>
      <c r="J2" s="190" t="s">
        <v>316</v>
      </c>
      <c r="K2" s="190" t="s">
        <v>317</v>
      </c>
      <c r="L2" s="101" t="s">
        <v>318</v>
      </c>
    </row>
    <row r="3" ht="12.75" customHeight="1">
      <c r="A3" s="103" t="s">
        <v>438</v>
      </c>
      <c r="B3" s="165" t="s">
        <v>9</v>
      </c>
      <c r="C3" s="192">
        <v>16.0</v>
      </c>
      <c r="D3" s="192">
        <v>2021.0</v>
      </c>
      <c r="E3" s="170" t="str">
        <f>IFS('Dawson O'!G3="1 year ext.", "1 of 1 years (ext.)", 'Dawson O'!G3="2 year ext.", "1 of 2 years (ext.)", 'Dawson O'!G3="3 year ext.", "1 of 3 years (ext.)", 'Dawson O'!G3="Releasing","Releasing")</f>
        <v>1 of 1 years (ext.)</v>
      </c>
      <c r="F3" s="112" t="s">
        <v>320</v>
      </c>
      <c r="G3" s="168" t="s">
        <v>321</v>
      </c>
      <c r="H3" s="105">
        <v>16.0</v>
      </c>
      <c r="I3" s="197">
        <f>IFS('Dawson O'!G3="1 year ext.", 'Dawson O'!C3+5, 'Dawson O'!G3="2 year ext.", 'Dawson O'!C3+5, 'Dawson O'!G3="3 year ext.", 'Dawson O'!C3+5, 'Dawson O'!G3="Releasing","0")</f>
        <v>21</v>
      </c>
      <c r="J3" s="110" t="str">
        <f>IFS('Dawson O'!G3="1 year ext.", "0", 'Dawson O'!G3="2 year ext.", 'Dawson O'!C3+10, 'Dawson O'!G3="3 year ext.", 'Dawson O'!C3+10, 'Dawson O'!G3="Releasing","0")</f>
        <v>0</v>
      </c>
      <c r="K3" s="110" t="str">
        <f>IFS('Dawson O'!G3="1 year ext.", "0", 'Dawson O'!G3="2 year ext.", "0", 'Dawson O'!G3="3 year ext.", 'Dawson O'!C3+15, 'Dawson O'!G3="Releasing","0")</f>
        <v>0</v>
      </c>
      <c r="L3" s="165"/>
      <c r="M3" s="196" t="s">
        <v>129</v>
      </c>
    </row>
    <row r="4" ht="12.75" customHeight="1">
      <c r="A4" s="103" t="s">
        <v>439</v>
      </c>
      <c r="B4" s="165" t="s">
        <v>9</v>
      </c>
      <c r="C4" s="192">
        <v>3.0</v>
      </c>
      <c r="D4" s="192">
        <v>2022.0</v>
      </c>
      <c r="E4" s="251" t="s">
        <v>343</v>
      </c>
      <c r="F4" s="112" t="s">
        <v>323</v>
      </c>
      <c r="G4" s="165"/>
      <c r="H4" s="105">
        <v>3.0</v>
      </c>
      <c r="I4" s="165"/>
      <c r="J4" s="165"/>
      <c r="K4" s="165"/>
      <c r="L4" s="165"/>
      <c r="M4" s="196"/>
    </row>
    <row r="5" ht="12.75" customHeight="1">
      <c r="A5" s="103"/>
      <c r="B5" s="165"/>
      <c r="C5" s="165"/>
      <c r="D5" s="165"/>
      <c r="E5" s="177"/>
      <c r="F5" s="165"/>
      <c r="G5" s="165"/>
      <c r="H5" s="105"/>
      <c r="I5" s="165"/>
      <c r="J5" s="165"/>
      <c r="K5" s="165"/>
      <c r="L5" s="165"/>
      <c r="M5" s="196" t="s">
        <v>129</v>
      </c>
    </row>
    <row r="6" ht="12.75" customHeight="1">
      <c r="A6" s="117" t="s">
        <v>440</v>
      </c>
      <c r="B6" s="172" t="s">
        <v>24</v>
      </c>
      <c r="C6" s="203">
        <v>50.0</v>
      </c>
      <c r="D6" s="203">
        <v>2021.0</v>
      </c>
      <c r="E6" s="170" t="str">
        <f>IFS('Dawson O'!G6="1 year ext.", "1 of 1 years (ext.)", 'Dawson O'!G6="2 year ext.", "1 of 2 years (ext.)", 'Dawson O'!G6="3 year ext.", "1 of 3 years (ext.)", 'Dawson O'!G6="Releasing","Releasing")</f>
        <v>1 of 1 years (ext.)</v>
      </c>
      <c r="F6" s="112" t="s">
        <v>320</v>
      </c>
      <c r="G6" s="168" t="s">
        <v>321</v>
      </c>
      <c r="H6" s="105">
        <v>50.0</v>
      </c>
      <c r="I6" s="197">
        <f>IFS('Dawson O'!G6="1 year ext.", 'Dawson O'!C6+5, 'Dawson O'!G6="2 year ext.", 'Dawson O'!C6+5, 'Dawson O'!G6="3 year ext.", 'Dawson O'!C6+5, 'Dawson O'!G6="Releasing","0")</f>
        <v>55</v>
      </c>
      <c r="J6" s="110" t="str">
        <f>IFS('Dawson O'!G6="1 year ext.", "0", 'Dawson O'!G6="2 year ext.", 'Dawson O'!C6+10, 'Dawson O'!G6="3 year ext.", 'Dawson O'!C6+10, 'Dawson O'!G6="Releasing","0")</f>
        <v>0</v>
      </c>
      <c r="K6" s="110" t="str">
        <f>IFS('Dawson O'!G6="1 year ext.", "0", 'Dawson O'!G6="2 year ext.", "0", 'Dawson O'!G6="3 year ext.", 'Dawson O'!C6+15, 'Dawson O'!G6="Releasing","0")</f>
        <v>0</v>
      </c>
      <c r="L6" s="200"/>
      <c r="M6" s="199" t="s">
        <v>129</v>
      </c>
    </row>
    <row r="7" ht="12.75" customHeight="1">
      <c r="A7" s="117" t="s">
        <v>441</v>
      </c>
      <c r="B7" s="172" t="s">
        <v>24</v>
      </c>
      <c r="C7" s="203">
        <v>32.0</v>
      </c>
      <c r="D7" s="203">
        <v>2021.0</v>
      </c>
      <c r="E7" s="170" t="str">
        <f>IFS('Dawson O'!G7="1 year ext.", "1 of 1 years (ext.)", 'Dawson O'!G7="2 year ext.", "1 of 2 years (ext.)", 'Dawson O'!G7="3 year ext.", "1 of 3 years (ext.)", 'Dawson O'!G7="Releasing","Releasing")</f>
        <v>Releasing</v>
      </c>
      <c r="F7" s="112" t="s">
        <v>320</v>
      </c>
      <c r="G7" s="168" t="s">
        <v>326</v>
      </c>
      <c r="H7" s="105">
        <v>32.0</v>
      </c>
      <c r="I7" s="197" t="str">
        <f>IFS('Dawson O'!G7="1 year ext.", 'Dawson O'!C7+5, 'Dawson O'!G7="2 year ext.", 'Dawson O'!C7+5, 'Dawson O'!G7="3 year ext.", 'Dawson O'!C7+5, 'Dawson O'!G7="Releasing","0")</f>
        <v>0</v>
      </c>
      <c r="J7" s="110" t="str">
        <f>IFS('Dawson O'!G7="1 year ext.", "0", 'Dawson O'!G7="2 year ext.", 'Dawson O'!C7+10, 'Dawson O'!G7="3 year ext.", 'Dawson O'!C7+10, 'Dawson O'!G7="Releasing","0")</f>
        <v>0</v>
      </c>
      <c r="K7" s="110" t="str">
        <f>IFS('Dawson O'!G7="1 year ext.", "0", 'Dawson O'!G7="2 year ext.", "0", 'Dawson O'!G7="3 year ext.", 'Dawson O'!C7+15, 'Dawson O'!G7="Releasing","0")</f>
        <v>0</v>
      </c>
      <c r="L7" s="172"/>
      <c r="M7" s="196" t="s">
        <v>129</v>
      </c>
    </row>
    <row r="8" ht="12.75" customHeight="1">
      <c r="A8" s="117" t="s">
        <v>442</v>
      </c>
      <c r="B8" s="172" t="s">
        <v>24</v>
      </c>
      <c r="C8" s="203">
        <v>6.0</v>
      </c>
      <c r="D8" s="203">
        <v>2021.0</v>
      </c>
      <c r="E8" s="170" t="str">
        <f>IFS('Dawson O'!G8="1 year ext.", "1 of 1 years (ext.)", 'Dawson O'!G8="2 year ext.", "1 of 2 years (ext.)", 'Dawson O'!G8="3 year ext.", "1 of 3 years (ext.)", 'Dawson O'!G8="Releasing","Releasing")</f>
        <v>Releasing</v>
      </c>
      <c r="F8" s="112" t="s">
        <v>320</v>
      </c>
      <c r="G8" s="168" t="s">
        <v>326</v>
      </c>
      <c r="H8" s="105">
        <v>6.0</v>
      </c>
      <c r="I8" s="197" t="str">
        <f>IFS('Dawson O'!G8="1 year ext.", 'Dawson O'!C8+5, 'Dawson O'!G8="2 year ext.", 'Dawson O'!C8+5, 'Dawson O'!G8="3 year ext.", 'Dawson O'!C8+5, 'Dawson O'!G8="Releasing","0")</f>
        <v>0</v>
      </c>
      <c r="J8" s="110" t="str">
        <f>IFS('Dawson O'!G8="1 year ext.", "0", 'Dawson O'!G8="2 year ext.", 'Dawson O'!C8+10, 'Dawson O'!G8="3 year ext.", 'Dawson O'!C8+10, 'Dawson O'!G8="Releasing","0")</f>
        <v>0</v>
      </c>
      <c r="K8" s="110" t="str">
        <f>IFS('Dawson O'!G8="1 year ext.", "0", 'Dawson O'!G8="2 year ext.", "0", 'Dawson O'!G8="3 year ext.", 'Dawson O'!C8+15, 'Dawson O'!G8="Releasing","0")</f>
        <v>0</v>
      </c>
      <c r="L8" s="172"/>
      <c r="M8" s="196" t="s">
        <v>371</v>
      </c>
    </row>
    <row r="9" ht="12.75" customHeight="1">
      <c r="A9" s="117" t="s">
        <v>47</v>
      </c>
      <c r="B9" s="172" t="s">
        <v>24</v>
      </c>
      <c r="C9" s="203">
        <v>9.0</v>
      </c>
      <c r="D9" s="203">
        <v>2022.0</v>
      </c>
      <c r="E9" s="251" t="s">
        <v>343</v>
      </c>
      <c r="F9" s="112" t="s">
        <v>323</v>
      </c>
      <c r="G9" s="172"/>
      <c r="H9" s="105">
        <v>9.0</v>
      </c>
      <c r="I9" s="172"/>
      <c r="J9" s="172"/>
      <c r="K9" s="172"/>
      <c r="L9" s="172"/>
      <c r="M9" s="199"/>
    </row>
    <row r="10" ht="12.75" customHeight="1">
      <c r="A10" s="117" t="s">
        <v>443</v>
      </c>
      <c r="B10" s="172" t="s">
        <v>24</v>
      </c>
      <c r="C10" s="203">
        <v>5.0</v>
      </c>
      <c r="D10" s="203">
        <v>2022.0</v>
      </c>
      <c r="E10" s="251" t="s">
        <v>343</v>
      </c>
      <c r="F10" s="112" t="s">
        <v>323</v>
      </c>
      <c r="G10" s="172"/>
      <c r="H10" s="105">
        <v>5.0</v>
      </c>
      <c r="I10" s="172"/>
      <c r="J10" s="172"/>
      <c r="K10" s="172"/>
      <c r="L10" s="172"/>
      <c r="M10" s="199" t="s">
        <v>129</v>
      </c>
    </row>
    <row r="11" ht="12.75" customHeight="1">
      <c r="A11" s="117"/>
      <c r="B11" s="172"/>
      <c r="C11" s="172"/>
      <c r="D11" s="172"/>
      <c r="E11" s="177"/>
      <c r="F11" s="172"/>
      <c r="G11" s="172"/>
      <c r="H11" s="105"/>
      <c r="I11" s="172"/>
      <c r="J11" s="172"/>
      <c r="K11" s="172"/>
      <c r="L11" s="172"/>
    </row>
    <row r="12" ht="12.75" customHeight="1">
      <c r="A12" s="123" t="s">
        <v>69</v>
      </c>
      <c r="B12" s="175" t="s">
        <v>63</v>
      </c>
      <c r="C12" s="205">
        <v>31.0</v>
      </c>
      <c r="D12" s="205">
        <v>2021.0</v>
      </c>
      <c r="E12" s="170" t="str">
        <f>IFS('Dawson O'!G12="1 year ext.", "1 of 1 years (ext.)", 'Dawson O'!G12="2 year ext.", "1 of 2 years (ext.)", 'Dawson O'!G12="3 year ext.", "1 of 3 years (ext.)", 'Dawson O'!G12="Releasing","Releasing")</f>
        <v>Releasing</v>
      </c>
      <c r="F12" s="112" t="s">
        <v>320</v>
      </c>
      <c r="G12" s="168" t="s">
        <v>326</v>
      </c>
      <c r="H12" s="105">
        <v>31.0</v>
      </c>
      <c r="I12" s="197" t="str">
        <f>IFS('Dawson O'!G12="1 year ext.", 'Dawson O'!C12+5, 'Dawson O'!G12="2 year ext.", 'Dawson O'!C12+5, 'Dawson O'!G12="3 year ext.", 'Dawson O'!C12+5, 'Dawson O'!G12="Releasing","0")</f>
        <v>0</v>
      </c>
      <c r="J12" s="110" t="str">
        <f>IFS('Dawson O'!G12="1 year ext.", "0", 'Dawson O'!G12="2 year ext.", 'Dawson O'!C12+10, 'Dawson O'!G12="3 year ext.", 'Dawson O'!C12+10, 'Dawson O'!G12="Releasing","0")</f>
        <v>0</v>
      </c>
      <c r="K12" s="110" t="str">
        <f>IFS('Dawson O'!G12="1 year ext.", "0", 'Dawson O'!G12="2 year ext.", "0", 'Dawson O'!G12="3 year ext.", 'Dawson O'!C12+15, 'Dawson O'!G12="Releasing","0")</f>
        <v>0</v>
      </c>
      <c r="L12" s="176"/>
    </row>
    <row r="13" ht="12.75" customHeight="1">
      <c r="A13" s="125" t="s">
        <v>444</v>
      </c>
      <c r="B13" s="176" t="s">
        <v>63</v>
      </c>
      <c r="C13" s="207">
        <v>6.0</v>
      </c>
      <c r="D13" s="205">
        <v>2021.0</v>
      </c>
      <c r="E13" s="170" t="str">
        <f>IFS('Dawson O'!G13="1 year ext.", "1 of 1 years (ext.)", 'Dawson O'!G13="2 year ext.", "1 of 2 years (ext.)", 'Dawson O'!G13="3 year ext.", "1 of 3 years (ext.)", 'Dawson O'!G13="Releasing","Releasing")</f>
        <v>1 of 3 years (ext.)</v>
      </c>
      <c r="F13" s="112" t="s">
        <v>320</v>
      </c>
      <c r="G13" s="168" t="s">
        <v>331</v>
      </c>
      <c r="H13" s="105">
        <v>6.0</v>
      </c>
      <c r="I13" s="197">
        <f>IFS('Dawson O'!G13="1 year ext.", 'Dawson O'!C13+5, 'Dawson O'!G13="2 year ext.", 'Dawson O'!C13+5, 'Dawson O'!G13="3 year ext.", 'Dawson O'!C13+5, 'Dawson O'!G13="Releasing","0")</f>
        <v>11</v>
      </c>
      <c r="J13" s="110">
        <f>IFS('Dawson O'!G13="1 year ext.", "0", 'Dawson O'!G13="2 year ext.", 'Dawson O'!C13+10, 'Dawson O'!G13="3 year ext.", 'Dawson O'!C13+10, 'Dawson O'!G13="Releasing","0")</f>
        <v>16</v>
      </c>
      <c r="K13" s="110">
        <f>IFS('Dawson O'!G13="1 year ext.", "0", 'Dawson O'!G13="2 year ext.", "0", 'Dawson O'!G13="3 year ext.", 'Dawson O'!C13+15, 'Dawson O'!G13="Releasing","0")</f>
        <v>21</v>
      </c>
      <c r="L13" s="176"/>
    </row>
    <row r="14" ht="12.75" customHeight="1">
      <c r="A14" s="125" t="s">
        <v>445</v>
      </c>
      <c r="B14" s="176" t="s">
        <v>63</v>
      </c>
      <c r="C14" s="207">
        <v>7.0</v>
      </c>
      <c r="D14" s="205">
        <v>2021.0</v>
      </c>
      <c r="E14" s="170" t="str">
        <f>IFS('Dawson O'!G14="1 year ext.", "1 of 1 years (ext.)", 'Dawson O'!G14="2 year ext.", "1 of 2 years (ext.)", 'Dawson O'!G14="3 year ext.", "1 of 3 years (ext.)", 'Dawson O'!G14="Releasing","Releasing")</f>
        <v>1 of 2 years (ext.)</v>
      </c>
      <c r="F14" s="112" t="s">
        <v>320</v>
      </c>
      <c r="G14" s="168" t="s">
        <v>328</v>
      </c>
      <c r="H14" s="105">
        <v>7.0</v>
      </c>
      <c r="I14" s="197">
        <f>IFS('Dawson O'!G14="1 year ext.", 'Dawson O'!C14+5, 'Dawson O'!G14="2 year ext.", 'Dawson O'!C14+5, 'Dawson O'!G14="3 year ext.", 'Dawson O'!C14+5, 'Dawson O'!G14="Releasing","0")</f>
        <v>12</v>
      </c>
      <c r="J14" s="110">
        <f>IFS('Dawson O'!G14="1 year ext.", "0", 'Dawson O'!G14="2 year ext.", 'Dawson O'!C14+10, 'Dawson O'!G14="3 year ext.", 'Dawson O'!C14+10, 'Dawson O'!G14="Releasing","0")</f>
        <v>17</v>
      </c>
      <c r="K14" s="110" t="str">
        <f>IFS('Dawson O'!G14="1 year ext.", "0", 'Dawson O'!G14="2 year ext.", "0", 'Dawson O'!G14="3 year ext.", 'Dawson O'!C14+15, 'Dawson O'!G14="Releasing","0")</f>
        <v>0</v>
      </c>
      <c r="L14" s="176"/>
      <c r="M14" s="199" t="s">
        <v>129</v>
      </c>
    </row>
    <row r="15" ht="12.75" customHeight="1">
      <c r="A15" s="125" t="s">
        <v>446</v>
      </c>
      <c r="B15" s="176" t="s">
        <v>63</v>
      </c>
      <c r="C15" s="207">
        <v>3.0</v>
      </c>
      <c r="D15" s="205">
        <v>2021.0</v>
      </c>
      <c r="E15" s="170" t="str">
        <f>IFS('Dawson O'!G15="1 year ext.", "1 of 1 years (ext.)", 'Dawson O'!G15="2 year ext.", "1 of 2 years (ext.)", 'Dawson O'!G15="3 year ext.", "1 of 3 years (ext.)", 'Dawson O'!G15="Releasing","Releasing")</f>
        <v>Releasing</v>
      </c>
      <c r="F15" s="112" t="s">
        <v>320</v>
      </c>
      <c r="G15" s="168" t="s">
        <v>326</v>
      </c>
      <c r="H15" s="105">
        <v>3.0</v>
      </c>
      <c r="I15" s="197" t="str">
        <f>IFS('Dawson O'!G15="1 year ext.", 'Dawson O'!C15+5, 'Dawson O'!G15="2 year ext.", 'Dawson O'!C15+5, 'Dawson O'!G15="3 year ext.", 'Dawson O'!C15+5, 'Dawson O'!G15="Releasing","0")</f>
        <v>0</v>
      </c>
      <c r="J15" s="110" t="str">
        <f>IFS('Dawson O'!G15="1 year ext.", "0", 'Dawson O'!G15="2 year ext.", 'Dawson O'!C15+10, 'Dawson O'!G15="3 year ext.", 'Dawson O'!C15+10, 'Dawson O'!G15="Releasing","0")</f>
        <v>0</v>
      </c>
      <c r="K15" s="110" t="str">
        <f>IFS('Dawson O'!G15="1 year ext.", "0", 'Dawson O'!G15="2 year ext.", "0", 'Dawson O'!G15="3 year ext.", 'Dawson O'!C15+15, 'Dawson O'!G15="Releasing","0")</f>
        <v>0</v>
      </c>
      <c r="L15" s="176"/>
      <c r="M15" s="199"/>
    </row>
    <row r="16" ht="12.75" customHeight="1">
      <c r="A16" s="125" t="s">
        <v>447</v>
      </c>
      <c r="B16" s="176" t="s">
        <v>63</v>
      </c>
      <c r="C16" s="207">
        <v>1.0</v>
      </c>
      <c r="D16" s="205">
        <v>2021.0</v>
      </c>
      <c r="E16" s="170" t="str">
        <f>IFS('Dawson O'!G16="1 year ext.", "1 of 1 years (ext.)", 'Dawson O'!G16="2 year ext.", "1 of 2 years (ext.)", 'Dawson O'!G16="3 year ext.", "1 of 3 years (ext.)", 'Dawson O'!G16="Releasing","Releasing")</f>
        <v>1 of 1 years (ext.)</v>
      </c>
      <c r="F16" s="112" t="s">
        <v>320</v>
      </c>
      <c r="G16" s="168" t="s">
        <v>321</v>
      </c>
      <c r="H16" s="105">
        <v>1.0</v>
      </c>
      <c r="I16" s="197">
        <f>IFS('Dawson O'!G16="1 year ext.", 'Dawson O'!C16+5, 'Dawson O'!G16="2 year ext.", 'Dawson O'!C16+5, 'Dawson O'!G16="3 year ext.", 'Dawson O'!C16+5, 'Dawson O'!G16="Releasing","0")</f>
        <v>6</v>
      </c>
      <c r="J16" s="110" t="str">
        <f>IFS('Dawson O'!G16="1 year ext.", "0", 'Dawson O'!G16="2 year ext.", 'Dawson O'!C16+10, 'Dawson O'!G16="3 year ext.", 'Dawson O'!C16+10, 'Dawson O'!G16="Releasing","0")</f>
        <v>0</v>
      </c>
      <c r="K16" s="110" t="str">
        <f>IFS('Dawson O'!G16="1 year ext.", "0", 'Dawson O'!G16="2 year ext.", "0", 'Dawson O'!G16="3 year ext.", 'Dawson O'!C16+15, 'Dawson O'!G16="Releasing","0")</f>
        <v>0</v>
      </c>
      <c r="L16" s="176"/>
      <c r="M16" s="199"/>
    </row>
    <row r="17" ht="12.75" customHeight="1">
      <c r="A17" s="125" t="s">
        <v>448</v>
      </c>
      <c r="B17" s="176" t="s">
        <v>63</v>
      </c>
      <c r="C17" s="207">
        <v>5.0</v>
      </c>
      <c r="D17" s="205">
        <v>2022.0</v>
      </c>
      <c r="E17" s="251" t="s">
        <v>343</v>
      </c>
      <c r="F17" s="112" t="s">
        <v>323</v>
      </c>
      <c r="G17" s="176"/>
      <c r="H17" s="105">
        <v>5.0</v>
      </c>
      <c r="I17" s="176"/>
      <c r="J17" s="176"/>
      <c r="K17" s="110"/>
      <c r="L17" s="176"/>
      <c r="M17" s="196" t="s">
        <v>129</v>
      </c>
    </row>
    <row r="18" ht="12.75" customHeight="1">
      <c r="A18" s="125"/>
      <c r="B18" s="176"/>
      <c r="C18" s="176"/>
      <c r="D18" s="175"/>
      <c r="E18" s="177"/>
      <c r="F18" s="176"/>
      <c r="G18" s="176"/>
      <c r="H18" s="105"/>
      <c r="I18" s="176"/>
      <c r="J18" s="176"/>
      <c r="K18" s="176"/>
      <c r="L18" s="176"/>
      <c r="M18" s="196"/>
    </row>
    <row r="19" ht="12.75" customHeight="1">
      <c r="A19" s="125"/>
      <c r="B19" s="176"/>
      <c r="C19" s="176"/>
      <c r="D19" s="175"/>
      <c r="E19" s="177"/>
      <c r="F19" s="176"/>
      <c r="G19" s="176"/>
      <c r="H19" s="105"/>
      <c r="I19" s="176"/>
      <c r="J19" s="176"/>
      <c r="K19" s="176"/>
      <c r="L19" s="176"/>
      <c r="M19" s="196"/>
    </row>
    <row r="20" ht="12.75" customHeight="1">
      <c r="A20" s="125"/>
      <c r="B20" s="176"/>
      <c r="C20" s="176"/>
      <c r="D20" s="175"/>
      <c r="E20" s="177"/>
      <c r="F20" s="176"/>
      <c r="G20" s="176"/>
      <c r="H20" s="105"/>
      <c r="I20" s="176"/>
      <c r="J20" s="176"/>
      <c r="K20" s="176"/>
      <c r="L20" s="176"/>
      <c r="M20" s="196"/>
    </row>
    <row r="21" ht="12.75" customHeight="1">
      <c r="A21" s="131" t="s">
        <v>449</v>
      </c>
      <c r="B21" s="177" t="s">
        <v>111</v>
      </c>
      <c r="C21" s="210">
        <v>22.0</v>
      </c>
      <c r="D21" s="210">
        <v>2021.0</v>
      </c>
      <c r="E21" s="170" t="str">
        <f>IFS('Dawson O'!G21="1 year ext.", "1 of 1 years (ext.)", 'Dawson O'!G21="2 year ext.", "1 of 2 years (ext.)", 'Dawson O'!G21="3 year ext.", "1 of 3 years (ext.)", 'Dawson O'!G21="Releasing","Releasing")</f>
        <v>1 of 1 years (ext.)</v>
      </c>
      <c r="F21" s="112" t="s">
        <v>320</v>
      </c>
      <c r="G21" s="168" t="s">
        <v>321</v>
      </c>
      <c r="H21" s="105">
        <v>22.0</v>
      </c>
      <c r="I21" s="197">
        <f>IFS('Dawson O'!G21="1 year ext.", 'Dawson O'!C21+5, 'Dawson O'!G21="2 year ext.", 'Dawson O'!C21+5, 'Dawson O'!G21="3 year ext.", 'Dawson O'!C21+5, 'Dawson O'!G21="Releasing","0")</f>
        <v>27</v>
      </c>
      <c r="J21" s="110" t="str">
        <f>IFS('Dawson O'!G21="1 year ext.", "0", 'Dawson O'!G21="2 year ext.", 'Dawson O'!C21+10, 'Dawson O'!G21="3 year ext.", 'Dawson O'!C21+10, 'Dawson O'!G21="Releasing","0")</f>
        <v>0</v>
      </c>
      <c r="K21" s="110" t="str">
        <f>IFS('Dawson O'!G21="1 year ext.", "0", 'Dawson O'!G21="2 year ext.", "0", 'Dawson O'!G21="3 year ext.", 'Dawson O'!C21+15, 'Dawson O'!G21="Releasing","0")</f>
        <v>0</v>
      </c>
      <c r="L21" s="177"/>
      <c r="M21" s="196"/>
    </row>
    <row r="22" ht="12.75" customHeight="1">
      <c r="A22" s="131" t="s">
        <v>450</v>
      </c>
      <c r="B22" s="177" t="s">
        <v>111</v>
      </c>
      <c r="C22" s="210">
        <v>1.0</v>
      </c>
      <c r="D22" s="210">
        <v>2022.0</v>
      </c>
      <c r="E22" s="251" t="s">
        <v>343</v>
      </c>
      <c r="F22" s="112" t="s">
        <v>323</v>
      </c>
      <c r="G22" s="177"/>
      <c r="H22" s="105">
        <v>1.0</v>
      </c>
      <c r="I22" s="177"/>
      <c r="J22" s="177"/>
      <c r="K22" s="177"/>
      <c r="L22" s="177"/>
      <c r="M22" s="196"/>
    </row>
    <row r="23" ht="12.75" customHeight="1">
      <c r="A23" s="131"/>
      <c r="B23" s="177"/>
      <c r="C23" s="177"/>
      <c r="D23" s="177"/>
      <c r="E23" s="177"/>
      <c r="F23" s="177"/>
      <c r="G23" s="177"/>
      <c r="H23" s="105"/>
      <c r="I23" s="177"/>
      <c r="J23" s="177"/>
      <c r="K23" s="177"/>
      <c r="L23" s="177"/>
      <c r="M23" s="196" t="s">
        <v>129</v>
      </c>
    </row>
    <row r="24" ht="12.75" customHeight="1">
      <c r="A24" s="131"/>
      <c r="B24" s="177"/>
      <c r="C24" s="177"/>
      <c r="D24" s="177"/>
      <c r="E24" s="177"/>
      <c r="F24" s="177"/>
      <c r="G24" s="177"/>
      <c r="H24" s="105"/>
      <c r="I24" s="177"/>
      <c r="J24" s="177"/>
      <c r="K24" s="177"/>
      <c r="L24" s="177"/>
      <c r="M24" s="196" t="s">
        <v>129</v>
      </c>
    </row>
    <row r="25" ht="12.75" customHeight="1">
      <c r="A25" s="133" t="s">
        <v>128</v>
      </c>
      <c r="B25" s="179" t="s">
        <v>124</v>
      </c>
      <c r="C25" s="234">
        <v>5.0</v>
      </c>
      <c r="D25" s="234">
        <v>2022.0</v>
      </c>
      <c r="E25" s="251" t="s">
        <v>343</v>
      </c>
      <c r="F25" s="112" t="s">
        <v>323</v>
      </c>
      <c r="G25" s="179"/>
      <c r="H25" s="105">
        <v>5.0</v>
      </c>
      <c r="I25" s="179"/>
      <c r="J25" s="179"/>
      <c r="K25" s="179"/>
      <c r="L25" s="179"/>
      <c r="M25" s="196"/>
    </row>
    <row r="26" ht="12.75" customHeight="1">
      <c r="A26" s="133"/>
      <c r="B26" s="179" t="s">
        <v>124</v>
      </c>
      <c r="C26" s="179"/>
      <c r="D26" s="179"/>
      <c r="E26" s="179"/>
      <c r="F26" s="179"/>
      <c r="G26" s="179"/>
      <c r="H26" s="105"/>
      <c r="I26" s="179"/>
      <c r="J26" s="179"/>
      <c r="K26" s="179"/>
      <c r="L26" s="179"/>
      <c r="M26" s="196"/>
    </row>
    <row r="27" ht="12.75" customHeight="1">
      <c r="A27" s="135" t="s">
        <v>138</v>
      </c>
      <c r="B27" s="180" t="s">
        <v>133</v>
      </c>
      <c r="C27" s="214">
        <v>1.0</v>
      </c>
      <c r="D27" s="214">
        <v>2021.0</v>
      </c>
      <c r="E27" s="170" t="str">
        <f>IFS('Dawson O'!G27="1 year ext.", "1 of 1 years (ext.)", 'Dawson O'!G27="2 year ext.", "1 of 2 years (ext.)", 'Dawson O'!G27="3 year ext.", "1 of 3 years (ext.)", 'Dawson O'!G27="Releasing","Releasing")</f>
        <v>1 of 1 years (ext.)</v>
      </c>
      <c r="F27" s="112" t="s">
        <v>320</v>
      </c>
      <c r="G27" s="168" t="s">
        <v>321</v>
      </c>
      <c r="H27" s="105">
        <v>1.0</v>
      </c>
      <c r="I27" s="197">
        <f>IFS('Dawson O'!G27="1 year ext.", 'Dawson O'!C27+5, 'Dawson O'!G27="2 year ext.", 'Dawson O'!C27+5, 'Dawson O'!G27="3 year ext.", 'Dawson O'!C27+5, 'Dawson O'!G27="Releasing","0")</f>
        <v>6</v>
      </c>
      <c r="J27" s="110" t="str">
        <f>IFS('Dawson O'!G27="1 year ext.", "0", 'Dawson O'!G27="2 year ext.", 'Dawson O'!C27+10, 'Dawson O'!G27="3 year ext.", 'Dawson O'!C27+10, 'Dawson O'!G27="Releasing","0")</f>
        <v>0</v>
      </c>
      <c r="K27" s="110" t="str">
        <f>IFS('Dawson O'!G27="1 year ext.", "0", 'Dawson O'!G27="2 year ext.", "0", 'Dawson O'!G27="3 year ext.", 'Dawson O'!C27+15, 'Dawson O'!G27="Releasing","0")</f>
        <v>0</v>
      </c>
      <c r="L27" s="180"/>
      <c r="M27" s="196" t="s">
        <v>371</v>
      </c>
    </row>
    <row r="28" ht="12.75" customHeight="1">
      <c r="A28" s="135"/>
      <c r="B28" s="180"/>
      <c r="C28" s="180"/>
      <c r="D28" s="180"/>
      <c r="E28" s="180"/>
      <c r="F28" s="180"/>
      <c r="G28" s="180"/>
      <c r="H28" s="105"/>
      <c r="I28" s="180"/>
      <c r="J28" s="180"/>
      <c r="K28" s="180"/>
      <c r="L28" s="180"/>
      <c r="M28" s="196" t="s">
        <v>129</v>
      </c>
    </row>
    <row r="29" ht="12.75" customHeight="1">
      <c r="A29" s="216"/>
      <c r="B29" s="170"/>
      <c r="C29" s="170"/>
      <c r="D29" s="170"/>
      <c r="E29" s="170"/>
      <c r="F29" s="170"/>
      <c r="G29" s="170"/>
      <c r="H29" s="105"/>
      <c r="I29" s="170"/>
      <c r="J29" s="170"/>
      <c r="K29" s="170"/>
      <c r="L29" s="170"/>
      <c r="M29" s="196"/>
    </row>
    <row r="30" ht="12.75" customHeight="1">
      <c r="A30" s="140" t="s">
        <v>341</v>
      </c>
      <c r="B30" s="141"/>
      <c r="C30" s="141"/>
      <c r="D30" s="141"/>
      <c r="E30" s="141"/>
      <c r="F30" s="141"/>
      <c r="G30" s="141"/>
      <c r="H30" s="219"/>
      <c r="I30" s="141"/>
      <c r="J30" s="141"/>
      <c r="K30" s="141"/>
      <c r="L30" s="141"/>
      <c r="M30" s="199" t="s">
        <v>129</v>
      </c>
    </row>
    <row r="31" ht="12.75" customHeight="1">
      <c r="A31" s="146" t="s">
        <v>146</v>
      </c>
      <c r="B31" s="147"/>
      <c r="C31" s="148"/>
      <c r="D31" s="148">
        <v>2021.0</v>
      </c>
      <c r="E31" s="141" t="s">
        <v>343</v>
      </c>
      <c r="F31" s="141"/>
      <c r="G31" s="141"/>
      <c r="H31" s="219">
        <v>1.0</v>
      </c>
      <c r="I31" s="141"/>
      <c r="J31" s="141"/>
      <c r="K31" s="141"/>
      <c r="L31" s="141"/>
      <c r="M31" s="196" t="s">
        <v>129</v>
      </c>
    </row>
    <row r="32" ht="12.75" customHeight="1">
      <c r="A32" s="146" t="s">
        <v>151</v>
      </c>
      <c r="B32" s="147"/>
      <c r="C32" s="148"/>
      <c r="D32" s="148">
        <v>2021.0</v>
      </c>
      <c r="E32" s="141" t="s">
        <v>343</v>
      </c>
      <c r="F32" s="141"/>
      <c r="G32" s="141"/>
      <c r="H32" s="219">
        <v>1.0</v>
      </c>
      <c r="I32" s="141"/>
      <c r="J32" s="141"/>
      <c r="K32" s="141"/>
      <c r="L32" s="141"/>
      <c r="M32" s="196" t="s">
        <v>129</v>
      </c>
    </row>
    <row r="33" ht="12.75" customHeight="1">
      <c r="A33" s="146" t="s">
        <v>451</v>
      </c>
      <c r="B33" s="147"/>
      <c r="C33" s="148"/>
      <c r="D33" s="148">
        <v>2021.0</v>
      </c>
      <c r="E33" s="141" t="s">
        <v>343</v>
      </c>
      <c r="F33" s="141"/>
      <c r="G33" s="141"/>
      <c r="H33" s="219">
        <v>1.0</v>
      </c>
      <c r="I33" s="141"/>
      <c r="J33" s="141"/>
      <c r="K33" s="141"/>
      <c r="L33" s="141"/>
      <c r="M33" s="196" t="s">
        <v>129</v>
      </c>
    </row>
    <row r="34" ht="12.75" customHeight="1">
      <c r="A34" s="146" t="s">
        <v>161</v>
      </c>
      <c r="B34" s="147"/>
      <c r="C34" s="148"/>
      <c r="D34" s="148">
        <v>2021.0</v>
      </c>
      <c r="E34" s="141" t="s">
        <v>343</v>
      </c>
      <c r="F34" s="141"/>
      <c r="G34" s="141"/>
      <c r="H34" s="219">
        <v>1.0</v>
      </c>
      <c r="I34" s="141"/>
      <c r="J34" s="141"/>
      <c r="K34" s="141"/>
      <c r="L34" s="141"/>
      <c r="M34" s="196" t="s">
        <v>129</v>
      </c>
    </row>
    <row r="35" ht="12.75" customHeight="1">
      <c r="A35" s="146" t="s">
        <v>166</v>
      </c>
      <c r="B35" s="147"/>
      <c r="C35" s="148"/>
      <c r="D35" s="148">
        <v>2021.0</v>
      </c>
      <c r="E35" s="141" t="s">
        <v>343</v>
      </c>
      <c r="F35" s="141"/>
      <c r="G35" s="141"/>
      <c r="H35" s="219">
        <v>1.0</v>
      </c>
      <c r="I35" s="141"/>
      <c r="J35" s="141"/>
      <c r="K35" s="141"/>
      <c r="L35" s="141"/>
    </row>
    <row r="36" ht="12.75" customHeight="1">
      <c r="A36" s="146" t="s">
        <v>54</v>
      </c>
      <c r="B36" s="147"/>
      <c r="C36" s="148"/>
      <c r="D36" s="148">
        <v>2021.0</v>
      </c>
      <c r="E36" s="141" t="s">
        <v>343</v>
      </c>
      <c r="F36" s="141"/>
      <c r="G36" s="141"/>
      <c r="H36" s="219">
        <v>1.0</v>
      </c>
      <c r="I36" s="141"/>
      <c r="J36" s="141"/>
      <c r="K36" s="141"/>
      <c r="L36" s="141"/>
    </row>
    <row r="37" ht="12.75" customHeight="1">
      <c r="A37" s="146" t="s">
        <v>172</v>
      </c>
      <c r="B37" s="147"/>
      <c r="C37" s="148"/>
      <c r="D37" s="148">
        <v>2021.0</v>
      </c>
      <c r="E37" s="141" t="s">
        <v>343</v>
      </c>
      <c r="F37" s="141"/>
      <c r="G37" s="141"/>
      <c r="H37" s="219">
        <v>1.0</v>
      </c>
      <c r="I37" s="141"/>
      <c r="J37" s="141"/>
      <c r="K37" s="141"/>
      <c r="L37" s="141"/>
    </row>
    <row r="38" ht="12.75" customHeight="1">
      <c r="A38" s="146" t="s">
        <v>452</v>
      </c>
      <c r="B38" s="147"/>
      <c r="C38" s="148"/>
      <c r="D38" s="148">
        <v>2021.0</v>
      </c>
      <c r="E38" s="141" t="s">
        <v>343</v>
      </c>
      <c r="F38" s="141"/>
      <c r="G38" s="141"/>
      <c r="H38" s="219">
        <v>1.0</v>
      </c>
      <c r="I38" s="141"/>
      <c r="J38" s="141"/>
      <c r="K38" s="141"/>
      <c r="L38" s="141"/>
    </row>
    <row r="39" ht="12.75" customHeight="1">
      <c r="A39" s="146"/>
      <c r="B39" s="147"/>
      <c r="C39" s="141"/>
      <c r="D39" s="141"/>
      <c r="E39" s="141"/>
      <c r="F39" s="141"/>
      <c r="G39" s="141"/>
      <c r="H39" s="141"/>
      <c r="I39" s="141"/>
      <c r="J39" s="141"/>
      <c r="K39" s="141"/>
      <c r="L39" s="141"/>
    </row>
    <row r="40" ht="12.75" customHeight="1">
      <c r="A40" s="185"/>
      <c r="B40" s="98"/>
      <c r="C40" s="186"/>
      <c r="D40" s="98"/>
      <c r="E40" s="98"/>
      <c r="F40" s="98"/>
      <c r="G40" s="98"/>
      <c r="H40" s="98"/>
      <c r="I40" s="98"/>
      <c r="J40" s="98"/>
      <c r="K40" s="98"/>
      <c r="L40" s="98"/>
    </row>
    <row r="41" ht="12.75" customHeight="1">
      <c r="A41" s="252" t="s">
        <v>349</v>
      </c>
      <c r="B41" s="154"/>
      <c r="C41" s="253">
        <f>SUM('Dawson O'!C3:C40)</f>
        <v>203</v>
      </c>
      <c r="D41" s="154"/>
      <c r="E41" s="154"/>
      <c r="F41" s="154"/>
      <c r="G41" s="154"/>
      <c r="H41" s="253">
        <f>SUM('Dawson O'!H3:H40)</f>
        <v>211</v>
      </c>
      <c r="I41" s="253">
        <f>SUM('Dawson O'!I3:I40)</f>
        <v>138</v>
      </c>
      <c r="J41" s="253">
        <f>SUM('Dawson O'!J3:J40)</f>
        <v>33</v>
      </c>
      <c r="K41" s="253">
        <f>SUM('Dawson O'!K3:K40)</f>
        <v>21</v>
      </c>
      <c r="L41" s="154"/>
    </row>
    <row r="42" ht="12.75" customHeight="1">
      <c r="A42" s="254" t="s">
        <v>350</v>
      </c>
      <c r="B42" s="255"/>
      <c r="C42" s="255">
        <f>(250-'Dawson O'!C41)</f>
        <v>47</v>
      </c>
      <c r="D42" s="255"/>
      <c r="E42" s="255"/>
      <c r="F42" s="255"/>
      <c r="G42" s="255"/>
      <c r="H42" s="255">
        <f>(250-'Dawson O'!H41)</f>
        <v>39</v>
      </c>
      <c r="I42" s="255">
        <f>(250-'Dawson O'!I41)</f>
        <v>112</v>
      </c>
      <c r="J42" s="255">
        <f>(250-'Dawson O'!J41)</f>
        <v>217</v>
      </c>
      <c r="K42" s="255">
        <f>(250-'Dawson O'!K41)</f>
        <v>229</v>
      </c>
      <c r="L42" s="255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G3 G6:G8 G12:G16 G21 G27">
      <formula1>"1 year ext.,2 year ext.,3 year ext.,Releasing"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7" width="19.86"/>
    <col customWidth="1" min="8" max="12" width="16.71"/>
    <col customWidth="1" min="13" max="32" width="8.86"/>
  </cols>
  <sheetData>
    <row r="1" ht="12.75" customHeight="1">
      <c r="A1" s="97" t="s">
        <v>180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ht="12.75" customHeight="1">
      <c r="A2" s="100" t="s">
        <v>7</v>
      </c>
      <c r="B2" s="101" t="s">
        <v>308</v>
      </c>
      <c r="C2" s="101" t="s">
        <v>351</v>
      </c>
      <c r="D2" s="101" t="s">
        <v>310</v>
      </c>
      <c r="E2" s="101" t="s">
        <v>352</v>
      </c>
      <c r="F2" s="163" t="s">
        <v>312</v>
      </c>
      <c r="G2" s="164" t="s">
        <v>313</v>
      </c>
      <c r="H2" s="164" t="s">
        <v>314</v>
      </c>
      <c r="I2" s="190" t="s">
        <v>315</v>
      </c>
      <c r="J2" s="190" t="s">
        <v>316</v>
      </c>
      <c r="K2" s="190" t="s">
        <v>317</v>
      </c>
      <c r="L2" s="101" t="s">
        <v>318</v>
      </c>
    </row>
    <row r="3" ht="12.75" customHeight="1">
      <c r="A3" s="103" t="s">
        <v>453</v>
      </c>
      <c r="B3" s="165" t="s">
        <v>9</v>
      </c>
      <c r="C3" s="192">
        <v>11.0</v>
      </c>
      <c r="D3" s="192">
        <v>2021.0</v>
      </c>
      <c r="E3" s="170" t="str">
        <f>IFS('Josh C'!G3="1 year ext.", "1 of 1 years (ext.)", 'Josh C'!G3="2 year ext.", "1 of 2 years (ext.)", 'Josh C'!G3="3 year ext.", "1 of 3 years (ext.)", 'Josh C'!G3="Releasing","Releasing")</f>
        <v>1 of 3 years (ext.)</v>
      </c>
      <c r="F3" s="112" t="s">
        <v>320</v>
      </c>
      <c r="G3" s="168" t="s">
        <v>331</v>
      </c>
      <c r="H3" s="105">
        <v>11.0</v>
      </c>
      <c r="I3" s="197">
        <f>IFS('Josh C'!G3="1 year ext.", 'Josh C'!C3+5, 'Josh C'!G3="2 year ext.", 'Josh C'!C3+5, 'Josh C'!G3="3 year ext.", 'Josh C'!C3+5, 'Josh C'!G3="Releasing","0")</f>
        <v>16</v>
      </c>
      <c r="J3" s="110">
        <f>IFS('Josh C'!G3="1 year ext.", "0", 'Josh C'!G3="2 year ext.", 'Josh C'!C3+10, 'Josh C'!G3="3 year ext.", 'Josh C'!C3+10, 'Josh C'!G3="Releasing","0")</f>
        <v>21</v>
      </c>
      <c r="K3" s="110">
        <f>IFS('Josh C'!G3="1 year ext.", "0", 'Josh C'!G3="2 year ext.", "0", 'Josh C'!G3="3 year ext.", 'Josh C'!C3+15, 'Josh C'!G3="Releasing","0")</f>
        <v>26</v>
      </c>
      <c r="L3" s="165"/>
      <c r="M3" s="196" t="s">
        <v>129</v>
      </c>
    </row>
    <row r="4" ht="12.75" customHeight="1">
      <c r="A4" s="103" t="s">
        <v>454</v>
      </c>
      <c r="B4" s="165" t="s">
        <v>9</v>
      </c>
      <c r="C4" s="192">
        <v>1.0</v>
      </c>
      <c r="D4" s="192">
        <v>2021.0</v>
      </c>
      <c r="E4" s="170" t="str">
        <f>IFS('Josh C'!G4="1 year ext.", "1 of 1 years (ext.)", 'Josh C'!G4="2 year ext.", "1 of 2 years (ext.)", 'Josh C'!G4="3 year ext.", "1 of 3 years (ext.)", 'Josh C'!G4="Releasing","Releasing")</f>
        <v>1 of 3 years (ext.)</v>
      </c>
      <c r="F4" s="112" t="s">
        <v>320</v>
      </c>
      <c r="G4" s="168" t="s">
        <v>331</v>
      </c>
      <c r="H4" s="105">
        <v>1.0</v>
      </c>
      <c r="I4" s="197">
        <f>IFS('Josh C'!G4="1 year ext.", 'Josh C'!C4+5, 'Josh C'!G4="2 year ext.", 'Josh C'!C4+5, 'Josh C'!G4="3 year ext.", 'Josh C'!C4+5, 'Josh C'!G4="Releasing","0")</f>
        <v>6</v>
      </c>
      <c r="J4" s="110">
        <f>IFS('Josh C'!G4="1 year ext.", "0", 'Josh C'!G4="2 year ext.", 'Josh C'!C4+10, 'Josh C'!G4="3 year ext.", 'Josh C'!C4+10, 'Josh C'!G4="Releasing","0")</f>
        <v>11</v>
      </c>
      <c r="K4" s="110">
        <f>IFS('Josh C'!G4="1 year ext.", "0", 'Josh C'!G4="2 year ext.", "0", 'Josh C'!G4="3 year ext.", 'Josh C'!C4+15, 'Josh C'!G4="Releasing","0")</f>
        <v>16</v>
      </c>
      <c r="L4" s="165"/>
      <c r="M4" s="196"/>
    </row>
    <row r="5" ht="12.75" customHeight="1">
      <c r="A5" s="103"/>
      <c r="B5" s="165"/>
      <c r="C5" s="165"/>
      <c r="D5" s="165"/>
      <c r="E5" s="165"/>
      <c r="F5" s="165"/>
      <c r="G5" s="165"/>
      <c r="H5" s="105"/>
      <c r="I5" s="165"/>
      <c r="J5" s="165"/>
      <c r="K5" s="165"/>
      <c r="L5" s="165"/>
      <c r="M5" s="196" t="s">
        <v>129</v>
      </c>
    </row>
    <row r="6" ht="12.75" customHeight="1">
      <c r="A6" s="117" t="s">
        <v>455</v>
      </c>
      <c r="B6" s="172" t="s">
        <v>24</v>
      </c>
      <c r="C6" s="203">
        <v>49.0</v>
      </c>
      <c r="D6" s="203">
        <v>2021.0</v>
      </c>
      <c r="E6" s="170" t="str">
        <f>IFS('Josh C'!G6="1 year ext.", "1 of 1 years (ext.)", 'Josh C'!G6="2 year ext.", "1 of 2 years (ext.)", 'Josh C'!G6="3 year ext.", "1 of 3 years (ext.)", 'Josh C'!G6="Releasing","Releasing")</f>
        <v>Releasing</v>
      </c>
      <c r="F6" s="112" t="s">
        <v>320</v>
      </c>
      <c r="G6" s="168" t="s">
        <v>326</v>
      </c>
      <c r="H6" s="105">
        <v>49.0</v>
      </c>
      <c r="I6" s="197" t="str">
        <f>IFS('Josh C'!G6="1 year ext.", 'Josh C'!C6+5, 'Josh C'!G6="2 year ext.", 'Josh C'!C6+5, 'Josh C'!G6="3 year ext.", 'Josh C'!C6+5, 'Josh C'!G6="Releasing","0")</f>
        <v>0</v>
      </c>
      <c r="J6" s="110" t="str">
        <f>IFS('Josh C'!G6="1 year ext.", "0", 'Josh C'!G6="2 year ext.", 'Josh C'!C6+10, 'Josh C'!G6="3 year ext.", 'Josh C'!C6+10, 'Josh C'!G6="Releasing","0")</f>
        <v>0</v>
      </c>
      <c r="K6" s="110" t="str">
        <f>IFS('Josh C'!G6="1 year ext.", "0", 'Josh C'!G6="2 year ext.", "0", 'Josh C'!G6="3 year ext.", 'Josh C'!C6+15, 'Josh C'!G6="Releasing","0")</f>
        <v>0</v>
      </c>
      <c r="L6" s="200"/>
      <c r="M6" s="199" t="s">
        <v>129</v>
      </c>
    </row>
    <row r="7" ht="12.75" customHeight="1">
      <c r="A7" s="117" t="s">
        <v>456</v>
      </c>
      <c r="B7" s="172" t="s">
        <v>24</v>
      </c>
      <c r="C7" s="203">
        <v>22.0</v>
      </c>
      <c r="D7" s="203">
        <v>2021.0</v>
      </c>
      <c r="E7" s="170" t="str">
        <f>IFS('Josh C'!G7="1 year ext.", "1 of 1 years (ext.)", 'Josh C'!G7="2 year ext.", "1 of 2 years (ext.)", 'Josh C'!G7="3 year ext.", "1 of 3 years (ext.)", 'Josh C'!G7="Releasing","Releasing")</f>
        <v>1 of 1 years (ext.)</v>
      </c>
      <c r="F7" s="112" t="s">
        <v>320</v>
      </c>
      <c r="G7" s="168" t="s">
        <v>321</v>
      </c>
      <c r="H7" s="105">
        <v>22.0</v>
      </c>
      <c r="I7" s="197">
        <f>IFS('Josh C'!G7="1 year ext.", 'Josh C'!C7+5, 'Josh C'!G7="2 year ext.", 'Josh C'!C7+5, 'Josh C'!G7="3 year ext.", 'Josh C'!C7+5, 'Josh C'!G7="Releasing","0")</f>
        <v>27</v>
      </c>
      <c r="J7" s="110" t="str">
        <f>IFS('Josh C'!G7="1 year ext.", "0", 'Josh C'!G7="2 year ext.", 'Josh C'!C7+10, 'Josh C'!G7="3 year ext.", 'Josh C'!C7+10, 'Josh C'!G7="Releasing","0")</f>
        <v>0</v>
      </c>
      <c r="K7" s="110" t="str">
        <f>IFS('Josh C'!G7="1 year ext.", "0", 'Josh C'!G7="2 year ext.", "0", 'Josh C'!G7="3 year ext.", 'Josh C'!C7+15, 'Josh C'!G7="Releasing","0")</f>
        <v>0</v>
      </c>
      <c r="L7" s="200"/>
      <c r="M7" s="196" t="s">
        <v>129</v>
      </c>
    </row>
    <row r="8" ht="12.75" customHeight="1">
      <c r="A8" s="117" t="s">
        <v>457</v>
      </c>
      <c r="B8" s="172" t="s">
        <v>24</v>
      </c>
      <c r="C8" s="203">
        <v>16.0</v>
      </c>
      <c r="D8" s="203">
        <v>2021.0</v>
      </c>
      <c r="E8" s="170" t="str">
        <f>IFS('Josh C'!G8="1 year ext.", "1 of 1 years (ext.)", 'Josh C'!G8="2 year ext.", "1 of 2 years (ext.)", 'Josh C'!G8="3 year ext.", "1 of 3 years (ext.)", 'Josh C'!G8="Releasing","Releasing")</f>
        <v>Releasing</v>
      </c>
      <c r="F8" s="112" t="s">
        <v>320</v>
      </c>
      <c r="G8" s="168" t="s">
        <v>326</v>
      </c>
      <c r="H8" s="105">
        <v>16.0</v>
      </c>
      <c r="I8" s="197" t="str">
        <f>IFS('Josh C'!G8="1 year ext.", 'Josh C'!C8+5, 'Josh C'!G8="2 year ext.", 'Josh C'!C8+5, 'Josh C'!G8="3 year ext.", 'Josh C'!C8+5, 'Josh C'!G8="Releasing","0")</f>
        <v>0</v>
      </c>
      <c r="J8" s="110" t="str">
        <f>IFS('Josh C'!G8="1 year ext.", "0", 'Josh C'!G8="2 year ext.", 'Josh C'!C8+10, 'Josh C'!G8="3 year ext.", 'Josh C'!C8+10, 'Josh C'!G8="Releasing","0")</f>
        <v>0</v>
      </c>
      <c r="K8" s="110" t="str">
        <f>IFS('Josh C'!G8="1 year ext.", "0", 'Josh C'!G8="2 year ext.", "0", 'Josh C'!G8="3 year ext.", 'Josh C'!C8+15, 'Josh C'!G8="Releasing","0")</f>
        <v>0</v>
      </c>
      <c r="L8" s="200"/>
      <c r="M8" s="196" t="s">
        <v>371</v>
      </c>
    </row>
    <row r="9" ht="12.75" customHeight="1">
      <c r="A9" s="117" t="s">
        <v>458</v>
      </c>
      <c r="B9" s="172" t="s">
        <v>24</v>
      </c>
      <c r="C9" s="203">
        <v>4.0</v>
      </c>
      <c r="D9" s="203">
        <v>2022.0</v>
      </c>
      <c r="E9" s="251" t="s">
        <v>343</v>
      </c>
      <c r="F9" s="112" t="s">
        <v>323</v>
      </c>
      <c r="G9" s="200"/>
      <c r="H9" s="105">
        <v>4.0</v>
      </c>
      <c r="I9" s="200"/>
      <c r="J9" s="200"/>
      <c r="K9" s="110"/>
      <c r="L9" s="200"/>
      <c r="M9" s="199"/>
    </row>
    <row r="10" ht="12.75" customHeight="1">
      <c r="A10" s="117" t="s">
        <v>459</v>
      </c>
      <c r="B10" s="172" t="s">
        <v>24</v>
      </c>
      <c r="C10" s="203">
        <v>3.0</v>
      </c>
      <c r="D10" s="203">
        <v>2021.0</v>
      </c>
      <c r="E10" s="170" t="str">
        <f>IFS('Josh C'!G10="1 year ext.", "1 of 1 years (ext.)", 'Josh C'!G10="2 year ext.", "1 of 2 years (ext.)", 'Josh C'!G10="3 year ext.", "1 of 3 years (ext.)", 'Josh C'!G10="Releasing","Releasing")</f>
        <v>1 of 1 years (ext.)</v>
      </c>
      <c r="F10" s="112" t="s">
        <v>320</v>
      </c>
      <c r="G10" s="168" t="s">
        <v>321</v>
      </c>
      <c r="H10" s="105">
        <v>3.0</v>
      </c>
      <c r="I10" s="197">
        <f>IFS('Josh C'!G10="1 year ext.", 'Josh C'!C10+5, 'Josh C'!G10="2 year ext.", 'Josh C'!C10+5, 'Josh C'!G10="3 year ext.", 'Josh C'!C10+5, 'Josh C'!G10="Releasing","0")</f>
        <v>8</v>
      </c>
      <c r="J10" s="110" t="str">
        <f>IFS('Josh C'!G10="1 year ext.", "0", 'Josh C'!G10="2 year ext.", 'Josh C'!C10+10, 'Josh C'!G10="3 year ext.", 'Josh C'!C10+10, 'Josh C'!G10="Releasing","0")</f>
        <v>0</v>
      </c>
      <c r="K10" s="110" t="str">
        <f>IFS('Josh C'!G10="1 year ext.", "0", 'Josh C'!G10="2 year ext.", "0", 'Josh C'!G10="3 year ext.", 'Josh C'!C10+15, 'Josh C'!G10="Releasing","0")</f>
        <v>0</v>
      </c>
      <c r="L10" s="172"/>
      <c r="M10" s="199" t="s">
        <v>129</v>
      </c>
    </row>
    <row r="11" ht="12.75" customHeight="1">
      <c r="A11" s="117" t="s">
        <v>460</v>
      </c>
      <c r="B11" s="172" t="s">
        <v>24</v>
      </c>
      <c r="C11" s="203">
        <v>1.0</v>
      </c>
      <c r="D11" s="203">
        <v>2021.0</v>
      </c>
      <c r="E11" s="170" t="str">
        <f>IFS('Josh C'!G11="1 year ext.", "1 of 1 years (ext.)", 'Josh C'!G11="2 year ext.", "1 of 2 years (ext.)", 'Josh C'!G11="3 year ext.", "1 of 3 years (ext.)", 'Josh C'!G11="Releasing","Releasing")</f>
        <v>Releasing</v>
      </c>
      <c r="F11" s="112" t="s">
        <v>320</v>
      </c>
      <c r="G11" s="168" t="s">
        <v>326</v>
      </c>
      <c r="H11" s="105">
        <v>1.0</v>
      </c>
      <c r="I11" s="197" t="str">
        <f>IFS('Josh C'!G11="1 year ext.", 'Josh C'!C11+5, 'Josh C'!G11="2 year ext.", 'Josh C'!C11+5, 'Josh C'!G11="3 year ext.", 'Josh C'!C11+5, 'Josh C'!G11="Releasing","0")</f>
        <v>0</v>
      </c>
      <c r="J11" s="110" t="str">
        <f>IFS('Josh C'!G11="1 year ext.", "0", 'Josh C'!G11="2 year ext.", 'Josh C'!C11+10, 'Josh C'!G11="3 year ext.", 'Josh C'!C11+10, 'Josh C'!G11="Releasing","0")</f>
        <v>0</v>
      </c>
      <c r="K11" s="110" t="str">
        <f>IFS('Josh C'!G11="1 year ext.", "0", 'Josh C'!G11="2 year ext.", "0", 'Josh C'!G11="3 year ext.", 'Josh C'!C11+15, 'Josh C'!G11="Releasing","0")</f>
        <v>0</v>
      </c>
      <c r="L11" s="172"/>
    </row>
    <row r="12" ht="12.75" customHeight="1">
      <c r="A12" s="117" t="s">
        <v>461</v>
      </c>
      <c r="B12" s="172" t="s">
        <v>24</v>
      </c>
      <c r="C12" s="203">
        <v>1.0</v>
      </c>
      <c r="D12" s="203">
        <v>2021.0</v>
      </c>
      <c r="E12" s="170" t="str">
        <f>IFS('Josh C'!G12="1 year ext.", "1 of 1 years (ext.)", 'Josh C'!G12="2 year ext.", "1 of 2 years (ext.)", 'Josh C'!G12="3 year ext.", "1 of 3 years (ext.)", 'Josh C'!G12="Releasing","Releasing")</f>
        <v>Releasing</v>
      </c>
      <c r="F12" s="112" t="s">
        <v>320</v>
      </c>
      <c r="G12" s="168" t="s">
        <v>326</v>
      </c>
      <c r="H12" s="105">
        <v>1.0</v>
      </c>
      <c r="I12" s="197" t="str">
        <f>IFS('Josh C'!G12="1 year ext.", 'Josh C'!C12+5, 'Josh C'!G12="2 year ext.", 'Josh C'!C12+5, 'Josh C'!G12="3 year ext.", 'Josh C'!C12+5, 'Josh C'!G12="Releasing","0")</f>
        <v>0</v>
      </c>
      <c r="J12" s="110" t="str">
        <f>IFS('Josh C'!G12="1 year ext.", "0", 'Josh C'!G12="2 year ext.", 'Josh C'!C12+10, 'Josh C'!G12="3 year ext.", 'Josh C'!C12+10, 'Josh C'!G12="Releasing","0")</f>
        <v>0</v>
      </c>
      <c r="K12" s="110" t="str">
        <f>IFS('Josh C'!G12="1 year ext.", "0", 'Josh C'!G12="2 year ext.", "0", 'Josh C'!G12="3 year ext.", 'Josh C'!C12+15, 'Josh C'!G12="Releasing","0")</f>
        <v>0</v>
      </c>
      <c r="L12" s="172"/>
    </row>
    <row r="13" ht="12.75" customHeight="1">
      <c r="A13" s="117"/>
      <c r="B13" s="172"/>
      <c r="C13" s="172"/>
      <c r="D13" s="172"/>
      <c r="E13" s="165"/>
      <c r="F13" s="172"/>
      <c r="G13" s="172"/>
      <c r="H13" s="105"/>
      <c r="I13" s="172"/>
      <c r="J13" s="172"/>
      <c r="K13" s="110"/>
      <c r="L13" s="172"/>
    </row>
    <row r="14" ht="12.75" customHeight="1">
      <c r="A14" s="123" t="s">
        <v>462</v>
      </c>
      <c r="B14" s="175" t="s">
        <v>63</v>
      </c>
      <c r="C14" s="205">
        <v>30.0</v>
      </c>
      <c r="D14" s="205">
        <v>2021.0</v>
      </c>
      <c r="E14" s="170" t="str">
        <f>IFS('Josh C'!G14="1 year ext.", "1 of 1 years (ext.)", 'Josh C'!G14="2 year ext.", "1 of 2 years (ext.)", 'Josh C'!G14="3 year ext.", "1 of 3 years (ext.)", 'Josh C'!G14="Releasing","Releasing")</f>
        <v>1 of 3 years (ext.)</v>
      </c>
      <c r="F14" s="112" t="s">
        <v>320</v>
      </c>
      <c r="G14" s="168" t="s">
        <v>331</v>
      </c>
      <c r="H14" s="105">
        <v>30.0</v>
      </c>
      <c r="I14" s="197">
        <f>IFS('Josh C'!G14="1 year ext.", 'Josh C'!C14+5, 'Josh C'!G14="2 year ext.", 'Josh C'!C14+5, 'Josh C'!G14="3 year ext.", 'Josh C'!C14+5, 'Josh C'!G14="Releasing","0")</f>
        <v>35</v>
      </c>
      <c r="J14" s="110">
        <f>IFS('Josh C'!G14="1 year ext.", "0", 'Josh C'!G14="2 year ext.", 'Josh C'!C14+10, 'Josh C'!G14="3 year ext.", 'Josh C'!C14+10, 'Josh C'!G14="Releasing","0")</f>
        <v>40</v>
      </c>
      <c r="K14" s="110">
        <f>IFS('Josh C'!G14="1 year ext.", "0", 'Josh C'!G14="2 year ext.", "0", 'Josh C'!G14="3 year ext.", 'Josh C'!C14+15, 'Josh C'!G14="Releasing","0")</f>
        <v>45</v>
      </c>
      <c r="L14" s="176"/>
      <c r="M14" s="199" t="s">
        <v>129</v>
      </c>
    </row>
    <row r="15" ht="12.75" customHeight="1">
      <c r="A15" s="125" t="s">
        <v>463</v>
      </c>
      <c r="B15" s="176" t="s">
        <v>63</v>
      </c>
      <c r="C15" s="207">
        <v>22.0</v>
      </c>
      <c r="D15" s="205">
        <v>2021.0</v>
      </c>
      <c r="E15" s="170" t="str">
        <f>IFS('Josh C'!G15="1 year ext.", "1 of 1 years (ext.)", 'Josh C'!G15="2 year ext.", "1 of 2 years (ext.)", 'Josh C'!G15="3 year ext.", "1 of 3 years (ext.)", 'Josh C'!G15="Releasing","Releasing")</f>
        <v>Releasing</v>
      </c>
      <c r="F15" s="112" t="s">
        <v>320</v>
      </c>
      <c r="G15" s="168" t="s">
        <v>326</v>
      </c>
      <c r="H15" s="105">
        <v>22.0</v>
      </c>
      <c r="I15" s="197" t="str">
        <f>IFS('Josh C'!G15="1 year ext.", 'Josh C'!C15+5, 'Josh C'!G15="2 year ext.", 'Josh C'!C15+5, 'Josh C'!G15="3 year ext.", 'Josh C'!C15+5, 'Josh C'!G15="Releasing","0")</f>
        <v>0</v>
      </c>
      <c r="J15" s="110" t="str">
        <f>IFS('Josh C'!G15="1 year ext.", "0", 'Josh C'!G15="2 year ext.", 'Josh C'!C15+10, 'Josh C'!G15="3 year ext.", 'Josh C'!C15+10, 'Josh C'!G15="Releasing","0")</f>
        <v>0</v>
      </c>
      <c r="K15" s="110" t="str">
        <f>IFS('Josh C'!G15="1 year ext.", "0", 'Josh C'!G15="2 year ext.", "0", 'Josh C'!G15="3 year ext.", 'Josh C'!C15+15, 'Josh C'!G15="Releasing","0")</f>
        <v>0</v>
      </c>
      <c r="L15" s="176"/>
      <c r="M15" s="199"/>
    </row>
    <row r="16" ht="12.75" customHeight="1">
      <c r="A16" s="125" t="s">
        <v>464</v>
      </c>
      <c r="B16" s="176" t="s">
        <v>63</v>
      </c>
      <c r="C16" s="207">
        <v>14.0</v>
      </c>
      <c r="D16" s="205">
        <v>2021.0</v>
      </c>
      <c r="E16" s="170" t="str">
        <f>IFS('Josh C'!G16="1 year ext.", "1 of 1 years (ext.)", 'Josh C'!G16="2 year ext.", "1 of 2 years (ext.)", 'Josh C'!G16="3 year ext.", "1 of 3 years (ext.)", 'Josh C'!G16="Releasing","Releasing")</f>
        <v>Releasing</v>
      </c>
      <c r="F16" s="112" t="s">
        <v>320</v>
      </c>
      <c r="G16" s="168" t="s">
        <v>326</v>
      </c>
      <c r="H16" s="105">
        <v>14.0</v>
      </c>
      <c r="I16" s="197" t="str">
        <f>IFS('Josh C'!G16="1 year ext.", 'Josh C'!C16+5, 'Josh C'!G16="2 year ext.", 'Josh C'!C16+5, 'Josh C'!G16="3 year ext.", 'Josh C'!C16+5, 'Josh C'!G16="Releasing","0")</f>
        <v>0</v>
      </c>
      <c r="J16" s="110" t="str">
        <f>IFS('Josh C'!G16="1 year ext.", "0", 'Josh C'!G16="2 year ext.", 'Josh C'!C16+10, 'Josh C'!G16="3 year ext.", 'Josh C'!C16+10, 'Josh C'!G16="Releasing","0")</f>
        <v>0</v>
      </c>
      <c r="K16" s="110" t="str">
        <f>IFS('Josh C'!G16="1 year ext.", "0", 'Josh C'!G16="2 year ext.", "0", 'Josh C'!G16="3 year ext.", 'Josh C'!C16+15, 'Josh C'!G16="Releasing","0")</f>
        <v>0</v>
      </c>
      <c r="L16" s="176"/>
      <c r="M16" s="199"/>
    </row>
    <row r="17" ht="12.75" customHeight="1">
      <c r="A17" s="125" t="s">
        <v>465</v>
      </c>
      <c r="B17" s="176" t="s">
        <v>63</v>
      </c>
      <c r="C17" s="207">
        <v>1.0</v>
      </c>
      <c r="D17" s="205">
        <v>2021.0</v>
      </c>
      <c r="E17" s="170" t="str">
        <f>IFS('Josh C'!G17="1 year ext.", "1 of 1 years (ext.)", 'Josh C'!G17="2 year ext.", "1 of 2 years (ext.)", 'Josh C'!G17="3 year ext.", "1 of 3 years (ext.)", 'Josh C'!G17="Releasing","Releasing")</f>
        <v>Releasing</v>
      </c>
      <c r="F17" s="112" t="s">
        <v>320</v>
      </c>
      <c r="G17" s="168" t="s">
        <v>326</v>
      </c>
      <c r="H17" s="105">
        <v>1.0</v>
      </c>
      <c r="I17" s="197" t="str">
        <f>IFS('Josh C'!G17="1 year ext.", 'Josh C'!C17+5, 'Josh C'!G17="2 year ext.", 'Josh C'!C17+5, 'Josh C'!G17="3 year ext.", 'Josh C'!C17+5, 'Josh C'!G17="Releasing","0")</f>
        <v>0</v>
      </c>
      <c r="J17" s="110" t="str">
        <f>IFS('Josh C'!G17="1 year ext.", "0", 'Josh C'!G17="2 year ext.", 'Josh C'!C17+10, 'Josh C'!G17="3 year ext.", 'Josh C'!C17+10, 'Josh C'!G17="Releasing","0")</f>
        <v>0</v>
      </c>
      <c r="K17" s="110" t="str">
        <f>IFS('Josh C'!G17="1 year ext.", "0", 'Josh C'!G17="2 year ext.", "0", 'Josh C'!G17="3 year ext.", 'Josh C'!C17+15, 'Josh C'!G17="Releasing","0")</f>
        <v>0</v>
      </c>
      <c r="L17" s="176"/>
      <c r="M17" s="196" t="s">
        <v>129</v>
      </c>
    </row>
    <row r="18" ht="12.75" customHeight="1">
      <c r="A18" s="125" t="s">
        <v>466</v>
      </c>
      <c r="B18" s="176" t="s">
        <v>63</v>
      </c>
      <c r="C18" s="207">
        <v>1.0</v>
      </c>
      <c r="D18" s="205">
        <v>2021.0</v>
      </c>
      <c r="E18" s="170" t="str">
        <f>IFS('Josh C'!G18="1 year ext.", "1 of 1 years (ext.)", 'Josh C'!G18="2 year ext.", "1 of 2 years (ext.)", 'Josh C'!G18="3 year ext.", "1 of 3 years (ext.)", 'Josh C'!G18="Releasing","Releasing")</f>
        <v>Releasing</v>
      </c>
      <c r="F18" s="112" t="s">
        <v>320</v>
      </c>
      <c r="G18" s="168" t="s">
        <v>326</v>
      </c>
      <c r="H18" s="105">
        <v>1.0</v>
      </c>
      <c r="I18" s="197" t="str">
        <f>IFS('Josh C'!G18="1 year ext.", 'Josh C'!C18+5, 'Josh C'!G18="2 year ext.", 'Josh C'!C18+5, 'Josh C'!G18="3 year ext.", 'Josh C'!C18+5, 'Josh C'!G18="Releasing","0")</f>
        <v>0</v>
      </c>
      <c r="J18" s="110" t="str">
        <f>IFS('Josh C'!G18="1 year ext.", "0", 'Josh C'!G18="2 year ext.", 'Josh C'!C18+10, 'Josh C'!G18="3 year ext.", 'Josh C'!C18+10, 'Josh C'!G18="Releasing","0")</f>
        <v>0</v>
      </c>
      <c r="K18" s="110" t="str">
        <f>IFS('Josh C'!G18="1 year ext.", "0", 'Josh C'!G18="2 year ext.", "0", 'Josh C'!G18="3 year ext.", 'Josh C'!C18+15, 'Josh C'!G18="Releasing","0")</f>
        <v>0</v>
      </c>
      <c r="L18" s="176"/>
      <c r="M18" s="196"/>
    </row>
    <row r="19" ht="12.75" customHeight="1">
      <c r="A19" s="125" t="s">
        <v>467</v>
      </c>
      <c r="B19" s="176" t="s">
        <v>63</v>
      </c>
      <c r="C19" s="207">
        <v>1.0</v>
      </c>
      <c r="D19" s="205">
        <v>2021.0</v>
      </c>
      <c r="E19" s="170" t="str">
        <f>IFS('Josh C'!G19="1 year ext.", "1 of 1 years (ext.)", 'Josh C'!G19="2 year ext.", "1 of 2 years (ext.)", 'Josh C'!G19="3 year ext.", "1 of 3 years (ext.)", 'Josh C'!G19="Releasing","Releasing")</f>
        <v>1 of 1 years (ext.)</v>
      </c>
      <c r="F19" s="112" t="s">
        <v>320</v>
      </c>
      <c r="G19" s="168" t="s">
        <v>321</v>
      </c>
      <c r="H19" s="105">
        <v>1.0</v>
      </c>
      <c r="I19" s="197">
        <f>IFS('Josh C'!G19="1 year ext.", 'Josh C'!C19+5, 'Josh C'!G19="2 year ext.", 'Josh C'!C19+5, 'Josh C'!G19="3 year ext.", 'Josh C'!C19+5, 'Josh C'!G19="Releasing","0")</f>
        <v>6</v>
      </c>
      <c r="J19" s="110" t="str">
        <f>IFS('Josh C'!G19="1 year ext.", "0", 'Josh C'!G19="2 year ext.", 'Josh C'!C19+10, 'Josh C'!G19="3 year ext.", 'Josh C'!C19+10, 'Josh C'!G19="Releasing","0")</f>
        <v>0</v>
      </c>
      <c r="K19" s="110" t="str">
        <f>IFS('Josh C'!G19="1 year ext.", "0", 'Josh C'!G19="2 year ext.", "0", 'Josh C'!G19="3 year ext.", 'Josh C'!C19+15, 'Josh C'!G19="Releasing","0")</f>
        <v>0</v>
      </c>
      <c r="L19" s="176"/>
      <c r="M19" s="196"/>
    </row>
    <row r="20" ht="12.75" customHeight="1">
      <c r="A20" s="125" t="s">
        <v>468</v>
      </c>
      <c r="B20" s="176" t="s">
        <v>63</v>
      </c>
      <c r="C20" s="207">
        <v>1.0</v>
      </c>
      <c r="D20" s="205">
        <v>2021.0</v>
      </c>
      <c r="E20" s="170" t="str">
        <f>IFS('Josh C'!G20="1 year ext.", "1 of 1 years (ext.)", 'Josh C'!G20="2 year ext.", "1 of 2 years (ext.)", 'Josh C'!G20="3 year ext.", "1 of 3 years (ext.)", 'Josh C'!G20="Releasing","Releasing")</f>
        <v>Releasing</v>
      </c>
      <c r="F20" s="112" t="s">
        <v>320</v>
      </c>
      <c r="G20" s="168" t="s">
        <v>326</v>
      </c>
      <c r="H20" s="105">
        <v>1.0</v>
      </c>
      <c r="I20" s="197" t="str">
        <f>IFS('Josh C'!G20="1 year ext.", 'Josh C'!C20+5, 'Josh C'!G20="2 year ext.", 'Josh C'!C20+5, 'Josh C'!G20="3 year ext.", 'Josh C'!C20+5, 'Josh C'!G20="Releasing","0")</f>
        <v>0</v>
      </c>
      <c r="J20" s="110" t="str">
        <f>IFS('Josh C'!G20="1 year ext.", "0", 'Josh C'!G20="2 year ext.", 'Josh C'!C20+10, 'Josh C'!G20="3 year ext.", 'Josh C'!C20+10, 'Josh C'!G20="Releasing","0")</f>
        <v>0</v>
      </c>
      <c r="K20" s="110" t="str">
        <f>IFS('Josh C'!G20="1 year ext.", "0", 'Josh C'!G20="2 year ext.", "0", 'Josh C'!G20="3 year ext.", 'Josh C'!C20+15, 'Josh C'!G20="Releasing","0")</f>
        <v>0</v>
      </c>
      <c r="L20" s="176"/>
      <c r="M20" s="196"/>
    </row>
    <row r="21" ht="12.75" customHeight="1">
      <c r="A21" s="125"/>
      <c r="B21" s="176"/>
      <c r="C21" s="176"/>
      <c r="D21" s="175"/>
      <c r="E21" s="165"/>
      <c r="F21" s="176"/>
      <c r="G21" s="176"/>
      <c r="H21" s="105"/>
      <c r="I21" s="176"/>
      <c r="J21" s="176"/>
      <c r="K21" s="176"/>
      <c r="L21" s="176"/>
      <c r="M21" s="196"/>
    </row>
    <row r="22" ht="12.75" customHeight="1">
      <c r="A22" s="131" t="s">
        <v>469</v>
      </c>
      <c r="B22" s="177" t="s">
        <v>111</v>
      </c>
      <c r="C22" s="210">
        <v>10.0</v>
      </c>
      <c r="D22" s="210">
        <v>2021.0</v>
      </c>
      <c r="E22" s="170" t="str">
        <f>IFS('Josh C'!G22="1 year ext.", "1 of 1 years (ext.)", 'Josh C'!G22="2 year ext.", "1 of 2 years (ext.)", 'Josh C'!G22="3 year ext.", "1 of 3 years (ext.)", 'Josh C'!G22="Releasing","Releasing")</f>
        <v>1 of 1 years (ext.)</v>
      </c>
      <c r="F22" s="112" t="s">
        <v>320</v>
      </c>
      <c r="G22" s="168" t="s">
        <v>321</v>
      </c>
      <c r="H22" s="105">
        <v>10.0</v>
      </c>
      <c r="I22" s="197">
        <f>IFS('Josh C'!G22="1 year ext.", 'Josh C'!C22+5, 'Josh C'!G22="2 year ext.", 'Josh C'!C22+5, 'Josh C'!G22="3 year ext.", 'Josh C'!C22+5, 'Josh C'!G22="Releasing","0")</f>
        <v>15</v>
      </c>
      <c r="J22" s="110" t="str">
        <f>IFS('Josh C'!G22="1 year ext.", "0", 'Josh C'!G22="2 year ext.", 'Josh C'!C22+10, 'Josh C'!G22="3 year ext.", 'Josh C'!C22+10, 'Josh C'!G22="Releasing","0")</f>
        <v>0</v>
      </c>
      <c r="K22" s="110" t="str">
        <f>IFS('Josh C'!G22="1 year ext.", "0", 'Josh C'!G22="2 year ext.", "0", 'Josh C'!G22="3 year ext.", 'Josh C'!C22+15, 'Josh C'!G22="Releasing","0")</f>
        <v>0</v>
      </c>
      <c r="L22" s="177"/>
      <c r="M22" s="196"/>
    </row>
    <row r="23" ht="12.75" customHeight="1">
      <c r="A23" s="131" t="s">
        <v>470</v>
      </c>
      <c r="B23" s="177" t="s">
        <v>111</v>
      </c>
      <c r="C23" s="210">
        <v>3.0</v>
      </c>
      <c r="D23" s="210">
        <v>2021.0</v>
      </c>
      <c r="E23" s="170" t="str">
        <f>IFS('Josh C'!G23="1 year ext.", "1 of 1 years (ext.)", 'Josh C'!G23="2 year ext.", "1 of 2 years (ext.)", 'Josh C'!G23="3 year ext.", "1 of 3 years (ext.)", 'Josh C'!G23="Releasing","Releasing")</f>
        <v>Releasing</v>
      </c>
      <c r="F23" s="112" t="s">
        <v>320</v>
      </c>
      <c r="G23" s="168" t="s">
        <v>326</v>
      </c>
      <c r="H23" s="105">
        <v>3.0</v>
      </c>
      <c r="I23" s="197" t="str">
        <f>IFS('Josh C'!G23="1 year ext.", 'Josh C'!C23+5, 'Josh C'!G23="2 year ext.", 'Josh C'!C23+5, 'Josh C'!G23="3 year ext.", 'Josh C'!C23+5, 'Josh C'!G23="Releasing","0")</f>
        <v>0</v>
      </c>
      <c r="J23" s="110" t="str">
        <f>IFS('Josh C'!G23="1 year ext.", "0", 'Josh C'!G23="2 year ext.", 'Josh C'!C23+10, 'Josh C'!G23="3 year ext.", 'Josh C'!C23+10, 'Josh C'!G23="Releasing","0")</f>
        <v>0</v>
      </c>
      <c r="K23" s="110" t="str">
        <f>IFS('Josh C'!G23="1 year ext.", "0", 'Josh C'!G23="2 year ext.", "0", 'Josh C'!G23="3 year ext.", 'Josh C'!C23+15, 'Josh C'!G23="Releasing","0")</f>
        <v>0</v>
      </c>
      <c r="L23" s="177"/>
      <c r="M23" s="196" t="s">
        <v>129</v>
      </c>
    </row>
    <row r="24" ht="12.75" customHeight="1">
      <c r="A24" s="131" t="s">
        <v>471</v>
      </c>
      <c r="B24" s="177" t="s">
        <v>111</v>
      </c>
      <c r="C24" s="210">
        <v>1.0</v>
      </c>
      <c r="D24" s="210">
        <v>2021.0</v>
      </c>
      <c r="E24" s="170" t="str">
        <f>IFS('Josh C'!G24="1 year ext.", "1 of 1 years (ext.)", 'Josh C'!G24="2 year ext.", "1 of 2 years (ext.)", 'Josh C'!G24="3 year ext.", "1 of 3 years (ext.)", 'Josh C'!G24="Releasing","Releasing")</f>
        <v>Releasing</v>
      </c>
      <c r="F24" s="112" t="s">
        <v>320</v>
      </c>
      <c r="G24" s="168" t="s">
        <v>326</v>
      </c>
      <c r="H24" s="105">
        <v>1.0</v>
      </c>
      <c r="I24" s="197" t="str">
        <f>IFS('Josh C'!G24="1 year ext.", 'Josh C'!C24+5, 'Josh C'!G24="2 year ext.", 'Josh C'!C24+5, 'Josh C'!G24="3 year ext.", 'Josh C'!C24+5, 'Josh C'!G24="Releasing","0")</f>
        <v>0</v>
      </c>
      <c r="J24" s="110" t="str">
        <f>IFS('Josh C'!G24="1 year ext.", "0", 'Josh C'!G24="2 year ext.", 'Josh C'!C24+10, 'Josh C'!G24="3 year ext.", 'Josh C'!C24+10, 'Josh C'!G24="Releasing","0")</f>
        <v>0</v>
      </c>
      <c r="K24" s="110" t="str">
        <f>IFS('Josh C'!G24="1 year ext.", "0", 'Josh C'!G24="2 year ext.", "0", 'Josh C'!G24="3 year ext.", 'Josh C'!C24+15, 'Josh C'!G24="Releasing","0")</f>
        <v>0</v>
      </c>
      <c r="L24" s="177"/>
      <c r="M24" s="196" t="s">
        <v>129</v>
      </c>
    </row>
    <row r="25" ht="12.75" customHeight="1">
      <c r="A25" s="131" t="s">
        <v>257</v>
      </c>
      <c r="B25" s="177" t="s">
        <v>111</v>
      </c>
      <c r="C25" s="210">
        <v>1.0</v>
      </c>
      <c r="D25" s="210">
        <v>2021.0</v>
      </c>
      <c r="E25" s="170" t="str">
        <f>IFS('Josh C'!G25="1 year ext.", "1 of 1 years (ext.)", 'Josh C'!G25="2 year ext.", "1 of 2 years (ext.)", 'Josh C'!G25="3 year ext.", "1 of 3 years (ext.)", 'Josh C'!G25="Releasing","Releasing")</f>
        <v>Releasing</v>
      </c>
      <c r="F25" s="112" t="s">
        <v>320</v>
      </c>
      <c r="G25" s="168" t="s">
        <v>326</v>
      </c>
      <c r="H25" s="105">
        <v>1.0</v>
      </c>
      <c r="I25" s="197" t="str">
        <f>IFS('Josh C'!G25="1 year ext.", 'Josh C'!C25+5, 'Josh C'!G25="2 year ext.", 'Josh C'!C25+5, 'Josh C'!G25="3 year ext.", 'Josh C'!C25+5, 'Josh C'!G25="Releasing","0")</f>
        <v>0</v>
      </c>
      <c r="J25" s="110" t="str">
        <f>IFS('Josh C'!G25="1 year ext.", "0", 'Josh C'!G25="2 year ext.", 'Josh C'!C25+10, 'Josh C'!G25="3 year ext.", 'Josh C'!C25+10, 'Josh C'!G25="Releasing","0")</f>
        <v>0</v>
      </c>
      <c r="K25" s="110" t="str">
        <f>IFS('Josh C'!G25="1 year ext.", "0", 'Josh C'!G25="2 year ext.", "0", 'Josh C'!G25="3 year ext.", 'Josh C'!C25+15, 'Josh C'!G25="Releasing","0")</f>
        <v>0</v>
      </c>
      <c r="L25" s="177"/>
      <c r="M25" s="196"/>
    </row>
    <row r="26" ht="12.75" customHeight="1">
      <c r="A26" s="131"/>
      <c r="B26" s="177"/>
      <c r="C26" s="177"/>
      <c r="D26" s="177"/>
      <c r="E26" s="165"/>
      <c r="F26" s="177"/>
      <c r="G26" s="177"/>
      <c r="H26" s="105"/>
      <c r="I26" s="177"/>
      <c r="J26" s="177"/>
      <c r="K26" s="110"/>
      <c r="L26" s="177"/>
      <c r="M26" s="196"/>
    </row>
    <row r="27" ht="12.75" customHeight="1">
      <c r="A27" s="133" t="s">
        <v>472</v>
      </c>
      <c r="B27" s="179" t="s">
        <v>124</v>
      </c>
      <c r="C27" s="234">
        <v>1.0</v>
      </c>
      <c r="D27" s="234">
        <v>2021.0</v>
      </c>
      <c r="E27" s="170" t="str">
        <f>IFS('Josh C'!G27="1 year ext.", "1 of 1 years (ext.)", 'Josh C'!G27="2 year ext.", "1 of 2 years (ext.)", 'Josh C'!G27="3 year ext.", "1 of 3 years (ext.)", 'Josh C'!G27="Releasing","Releasing")</f>
        <v>Releasing</v>
      </c>
      <c r="F27" s="112" t="s">
        <v>320</v>
      </c>
      <c r="G27" s="168" t="s">
        <v>326</v>
      </c>
      <c r="H27" s="105">
        <v>1.0</v>
      </c>
      <c r="I27" s="197" t="str">
        <f>IFS('Josh C'!G27="1 year ext.", 'Josh C'!C27+5, 'Josh C'!G27="2 year ext.", 'Josh C'!C27+5, 'Josh C'!G27="3 year ext.", 'Josh C'!C27+5, 'Josh C'!G27="Releasing","0")</f>
        <v>0</v>
      </c>
      <c r="J27" s="110" t="str">
        <f>IFS('Josh C'!G27="1 year ext.", "0", 'Josh C'!G27="2 year ext.", 'Josh C'!C27+10, 'Josh C'!G27="3 year ext.", 'Josh C'!C27+10, 'Josh C'!G27="Releasing","0")</f>
        <v>0</v>
      </c>
      <c r="K27" s="110" t="str">
        <f>IFS('Josh C'!G27="1 year ext.", "0", 'Josh C'!G27="2 year ext.", "0", 'Josh C'!G27="3 year ext.", 'Josh C'!C27+15, 'Josh C'!G27="Releasing","0")</f>
        <v>0</v>
      </c>
      <c r="L27" s="179"/>
      <c r="M27" s="196" t="s">
        <v>371</v>
      </c>
    </row>
    <row r="28" ht="12.75" customHeight="1">
      <c r="A28" s="133"/>
      <c r="B28" s="179"/>
      <c r="C28" s="179"/>
      <c r="D28" s="179"/>
      <c r="E28" s="179"/>
      <c r="F28" s="179"/>
      <c r="G28" s="179"/>
      <c r="H28" s="105"/>
      <c r="I28" s="179"/>
      <c r="J28" s="179"/>
      <c r="K28" s="110"/>
      <c r="L28" s="179"/>
      <c r="M28" s="196" t="s">
        <v>129</v>
      </c>
    </row>
    <row r="29" ht="12.75" customHeight="1">
      <c r="A29" s="135" t="s">
        <v>261</v>
      </c>
      <c r="B29" s="180" t="s">
        <v>133</v>
      </c>
      <c r="C29" s="214">
        <v>1.0</v>
      </c>
      <c r="D29" s="214">
        <v>2021.0</v>
      </c>
      <c r="E29" s="170" t="str">
        <f>IFS('Josh C'!G29="1 year ext.", "1 of 1 years (ext.)", 'Josh C'!G29="2 year ext.", "1 of 2 years (ext.)", 'Josh C'!G29="3 year ext.", "1 of 3 years (ext.)", 'Josh C'!G29="Releasing","Releasing")</f>
        <v>Releasing</v>
      </c>
      <c r="F29" s="112" t="s">
        <v>320</v>
      </c>
      <c r="G29" s="168" t="s">
        <v>326</v>
      </c>
      <c r="H29" s="105">
        <v>1.0</v>
      </c>
      <c r="I29" s="197" t="str">
        <f>IFS('Josh C'!G29="1 year ext.", 'Josh C'!C29+5, 'Josh C'!G29="2 year ext.", 'Josh C'!C29+5, 'Josh C'!G29="3 year ext.", 'Josh C'!C29+5, 'Josh C'!G29="Releasing","0")</f>
        <v>0</v>
      </c>
      <c r="J29" s="110" t="str">
        <f>IFS('Josh C'!G29="1 year ext.", "0", 'Josh C'!G29="2 year ext.", 'Josh C'!C29+10, 'Josh C'!G29="3 year ext.", 'Josh C'!C29+10, 'Josh C'!G29="Releasing","0")</f>
        <v>0</v>
      </c>
      <c r="K29" s="110" t="str">
        <f>IFS('Josh C'!G29="1 year ext.", "0", 'Josh C'!G29="2 year ext.", "0", 'Josh C'!G29="3 year ext.", 'Josh C'!C29+15, 'Josh C'!G29="Releasing","0")</f>
        <v>0</v>
      </c>
      <c r="L29" s="180"/>
      <c r="M29" s="196"/>
    </row>
    <row r="30" ht="12.75" customHeight="1">
      <c r="A30" s="135"/>
      <c r="B30" s="180"/>
      <c r="C30" s="180"/>
      <c r="D30" s="180"/>
      <c r="E30" s="180"/>
      <c r="F30" s="180"/>
      <c r="G30" s="180"/>
      <c r="H30" s="105"/>
      <c r="I30" s="180"/>
      <c r="J30" s="180"/>
      <c r="K30" s="180"/>
      <c r="L30" s="180"/>
      <c r="M30" s="199" t="s">
        <v>129</v>
      </c>
    </row>
    <row r="31" ht="12.75" customHeight="1">
      <c r="A31" s="216"/>
      <c r="B31" s="170"/>
      <c r="C31" s="170"/>
      <c r="D31" s="170"/>
      <c r="E31" s="165"/>
      <c r="F31" s="170"/>
      <c r="G31" s="170"/>
      <c r="H31" s="105"/>
      <c r="I31" s="170"/>
      <c r="J31" s="170"/>
      <c r="K31" s="170"/>
      <c r="L31" s="170"/>
      <c r="M31" s="199"/>
    </row>
    <row r="32" ht="12.75" customHeight="1">
      <c r="A32" s="140" t="s">
        <v>341</v>
      </c>
      <c r="B32" s="141"/>
      <c r="C32" s="141"/>
      <c r="D32" s="141"/>
      <c r="E32" s="141"/>
      <c r="F32" s="141"/>
      <c r="G32" s="141"/>
      <c r="H32" s="219"/>
      <c r="I32" s="141"/>
      <c r="J32" s="141"/>
      <c r="K32" s="141"/>
      <c r="L32" s="141"/>
      <c r="M32" s="196" t="s">
        <v>129</v>
      </c>
    </row>
    <row r="33" ht="12.75" customHeight="1">
      <c r="A33" s="146" t="s">
        <v>203</v>
      </c>
      <c r="B33" s="147"/>
      <c r="C33" s="148"/>
      <c r="D33" s="148">
        <v>2021.0</v>
      </c>
      <c r="E33" s="141" t="s">
        <v>343</v>
      </c>
      <c r="F33" s="141"/>
      <c r="G33" s="141"/>
      <c r="H33" s="219">
        <v>2.0</v>
      </c>
      <c r="I33" s="141"/>
      <c r="J33" s="141"/>
      <c r="K33" s="141"/>
      <c r="L33" s="141"/>
      <c r="M33" s="196" t="s">
        <v>129</v>
      </c>
    </row>
    <row r="34" ht="12.75" customHeight="1">
      <c r="A34" s="146" t="s">
        <v>473</v>
      </c>
      <c r="B34" s="147"/>
      <c r="C34" s="148"/>
      <c r="D34" s="148">
        <v>2021.0</v>
      </c>
      <c r="E34" s="141" t="s">
        <v>343</v>
      </c>
      <c r="F34" s="141"/>
      <c r="G34" s="141"/>
      <c r="H34" s="219">
        <v>2.0</v>
      </c>
      <c r="I34" s="141"/>
      <c r="J34" s="141"/>
      <c r="K34" s="141"/>
      <c r="L34" s="141"/>
      <c r="M34" s="196" t="s">
        <v>129</v>
      </c>
    </row>
    <row r="35" ht="12.75" customHeight="1">
      <c r="A35" s="146"/>
      <c r="B35" s="147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96" t="s">
        <v>129</v>
      </c>
    </row>
    <row r="36" ht="12.75" customHeight="1">
      <c r="A36" s="146"/>
      <c r="B36" s="147"/>
      <c r="C36" s="141"/>
      <c r="D36" s="141"/>
      <c r="E36" s="141"/>
      <c r="F36" s="141"/>
      <c r="G36" s="141"/>
      <c r="H36" s="141"/>
      <c r="I36" s="141"/>
      <c r="J36" s="141"/>
      <c r="K36" s="141"/>
      <c r="L36" s="141"/>
    </row>
    <row r="37" ht="12.75" customHeight="1">
      <c r="A37" s="146"/>
      <c r="B37" s="147"/>
      <c r="C37" s="141"/>
      <c r="D37" s="141"/>
      <c r="E37" s="141"/>
      <c r="F37" s="141"/>
      <c r="G37" s="141"/>
      <c r="H37" s="141"/>
      <c r="I37" s="141"/>
      <c r="J37" s="141"/>
      <c r="K37" s="141"/>
      <c r="L37" s="141"/>
    </row>
    <row r="38" ht="12.75" customHeight="1">
      <c r="A38" s="146"/>
      <c r="B38" s="147"/>
      <c r="C38" s="141"/>
      <c r="D38" s="141"/>
      <c r="E38" s="141"/>
      <c r="F38" s="141"/>
      <c r="G38" s="141"/>
      <c r="H38" s="141"/>
      <c r="I38" s="141"/>
      <c r="J38" s="141"/>
      <c r="K38" s="141"/>
      <c r="L38" s="141"/>
    </row>
    <row r="39" ht="12.75" customHeight="1">
      <c r="A39" s="146"/>
      <c r="B39" s="147"/>
      <c r="C39" s="141"/>
      <c r="D39" s="141"/>
      <c r="E39" s="141"/>
      <c r="F39" s="141"/>
      <c r="G39" s="141"/>
      <c r="H39" s="141"/>
      <c r="I39" s="141"/>
      <c r="J39" s="141"/>
      <c r="K39" s="141"/>
      <c r="L39" s="141"/>
    </row>
    <row r="40" ht="12.75" customHeight="1">
      <c r="A40" s="146"/>
      <c r="B40" s="147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ht="12.75" customHeight="1">
      <c r="A41" s="146"/>
      <c r="B41" s="147"/>
      <c r="C41" s="141"/>
      <c r="D41" s="141"/>
      <c r="E41" s="141"/>
      <c r="F41" s="141"/>
      <c r="G41" s="141"/>
      <c r="H41" s="141"/>
      <c r="I41" s="141"/>
      <c r="J41" s="141"/>
      <c r="K41" s="141"/>
      <c r="L41" s="141"/>
    </row>
    <row r="42" ht="12.75" customHeight="1">
      <c r="A42" s="185"/>
      <c r="B42" s="98"/>
      <c r="C42" s="186"/>
      <c r="D42" s="98"/>
      <c r="E42" s="98"/>
      <c r="F42" s="98"/>
      <c r="G42" s="98"/>
      <c r="H42" s="98"/>
      <c r="I42" s="98"/>
      <c r="J42" s="98"/>
      <c r="K42" s="98"/>
      <c r="L42" s="98"/>
    </row>
    <row r="43" ht="12.75" customHeight="1">
      <c r="A43" s="252" t="s">
        <v>349</v>
      </c>
      <c r="B43" s="154"/>
      <c r="C43" s="253">
        <f>SUM('Josh C'!C3:C41)</f>
        <v>195</v>
      </c>
      <c r="D43" s="256"/>
      <c r="E43" s="256"/>
      <c r="F43" s="156"/>
      <c r="G43" s="156"/>
      <c r="H43" s="253">
        <f>SUM('Josh C'!H3:H41)</f>
        <v>199</v>
      </c>
      <c r="I43" s="253">
        <f>SUM('Josh C'!I3:I41)</f>
        <v>113</v>
      </c>
      <c r="J43" s="253">
        <f>SUM('Josh C'!J3:J41)</f>
        <v>72</v>
      </c>
      <c r="K43" s="253">
        <f>SUM('Josh C'!K5:K41)</f>
        <v>45</v>
      </c>
      <c r="L43" s="156"/>
    </row>
    <row r="44" ht="12.75" customHeight="1">
      <c r="A44" s="254" t="s">
        <v>350</v>
      </c>
      <c r="B44" s="255"/>
      <c r="C44" s="255">
        <f>(250-'Josh C'!C43)</f>
        <v>55</v>
      </c>
      <c r="D44" s="257"/>
      <c r="E44" s="257"/>
      <c r="F44" s="257"/>
      <c r="G44" s="257"/>
      <c r="H44" s="255">
        <f>(250-'Josh C'!H43)</f>
        <v>51</v>
      </c>
      <c r="I44" s="255">
        <f>(250-'Josh C'!I43)</f>
        <v>137</v>
      </c>
      <c r="J44" s="255">
        <f>(250-'Josh C'!J43)</f>
        <v>178</v>
      </c>
      <c r="K44" s="255">
        <f>(250-'Josh C'!K43)</f>
        <v>205</v>
      </c>
      <c r="L44" s="257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dataValidations>
    <dataValidation type="list" allowBlank="1" showErrorMessage="1" sqref="G3:G4 G6:G8 G10:G12 G14:G20 G22:G25 G27 G29">
      <formula1>"1 year ext.,2 year ext.,3 year ext.,Releasing"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7" width="19.86"/>
    <col customWidth="1" min="8" max="12" width="16.71"/>
    <col customWidth="1" min="13" max="32" width="8.86"/>
  </cols>
  <sheetData>
    <row r="1" ht="12.75" customHeight="1">
      <c r="A1" s="97" t="s">
        <v>181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ht="12.75" customHeight="1">
      <c r="A2" s="100" t="s">
        <v>7</v>
      </c>
      <c r="B2" s="101" t="s">
        <v>308</v>
      </c>
      <c r="C2" s="101" t="s">
        <v>351</v>
      </c>
      <c r="D2" s="101" t="s">
        <v>310</v>
      </c>
      <c r="E2" s="101" t="s">
        <v>352</v>
      </c>
      <c r="F2" s="163" t="s">
        <v>312</v>
      </c>
      <c r="G2" s="164" t="s">
        <v>313</v>
      </c>
      <c r="H2" s="164" t="s">
        <v>314</v>
      </c>
      <c r="I2" s="190" t="s">
        <v>315</v>
      </c>
      <c r="J2" s="190" t="s">
        <v>316</v>
      </c>
      <c r="K2" s="190" t="s">
        <v>317</v>
      </c>
      <c r="L2" s="101" t="s">
        <v>318</v>
      </c>
    </row>
    <row r="3" ht="12.75" customHeight="1">
      <c r="A3" s="103" t="s">
        <v>474</v>
      </c>
      <c r="B3" s="165" t="s">
        <v>9</v>
      </c>
      <c r="C3" s="192">
        <v>4.0</v>
      </c>
      <c r="D3" s="192">
        <v>2021.0</v>
      </c>
      <c r="E3" s="170" t="str">
        <f>IFS('Justin P'!G3="1 year ext.", "1 of 1 years (ext.)", 'Justin P'!G3="2 year ext.", "1 of 2 years (ext.)", 'Justin P'!G3="3 year ext.", "1 of 3 years (ext.)", 'Justin P'!G3="Releasing","Releasing")</f>
        <v>Releasing</v>
      </c>
      <c r="F3" s="112" t="s">
        <v>320</v>
      </c>
      <c r="G3" s="168" t="s">
        <v>326</v>
      </c>
      <c r="H3" s="105">
        <v>4.0</v>
      </c>
      <c r="I3" s="197" t="str">
        <f>IFS('Justin P'!G3="1 year ext.", 'Justin P'!C3+5, 'Justin P'!G3="2 year ext.", 'Justin P'!C3+5, 'Justin P'!G3="3 year ext.", 'Justin P'!C3+5, 'Justin P'!G3="Releasing","0")</f>
        <v>0</v>
      </c>
      <c r="J3" s="110" t="str">
        <f>IFS('Justin P'!G3="1 year ext.", "0", 'Justin P'!G3="2 year ext.", 'Justin P'!C3+10, 'Justin P'!G3="3 year ext.", 'Justin P'!C3+10, 'Justin P'!G3="Releasing","0")</f>
        <v>0</v>
      </c>
      <c r="K3" s="110" t="str">
        <f>IFS('Justin P'!G3="1 year ext.", "0", 'Justin P'!G3="2 year ext.", "0", 'Justin P'!G3="3 year ext.", 'Justin P'!C3+15, 'Justin P'!G3="Releasing","0")</f>
        <v>0</v>
      </c>
      <c r="L3" s="165"/>
      <c r="M3" s="196" t="s">
        <v>129</v>
      </c>
    </row>
    <row r="4" ht="12.75" customHeight="1">
      <c r="A4" s="103" t="s">
        <v>475</v>
      </c>
      <c r="B4" s="165" t="s">
        <v>9</v>
      </c>
      <c r="C4" s="192">
        <v>5.0</v>
      </c>
      <c r="D4" s="192">
        <v>2021.0</v>
      </c>
      <c r="E4" s="170" t="str">
        <f>IFS('Justin P'!G4="1 year ext.", "1 of 1 years (ext.)", 'Justin P'!G4="2 year ext.", "1 of 2 years (ext.)", 'Justin P'!G4="3 year ext.", "1 of 3 years (ext.)", 'Justin P'!G4="Releasing","Releasing")</f>
        <v>Releasing</v>
      </c>
      <c r="F4" s="112" t="s">
        <v>320</v>
      </c>
      <c r="G4" s="168" t="s">
        <v>326</v>
      </c>
      <c r="H4" s="105">
        <v>5.0</v>
      </c>
      <c r="I4" s="197" t="str">
        <f>IFS('Justin P'!G4="1 year ext.", 'Justin P'!C4+5, 'Justin P'!G4="2 year ext.", 'Justin P'!C4+5, 'Justin P'!G4="3 year ext.", 'Justin P'!C4+5, 'Justin P'!G4="Releasing","0")</f>
        <v>0</v>
      </c>
      <c r="J4" s="110" t="str">
        <f>IFS('Justin P'!G4="1 year ext.", "0", 'Justin P'!G4="2 year ext.", 'Justin P'!C4+10, 'Justin P'!G4="3 year ext.", 'Justin P'!C4+10, 'Justin P'!G4="Releasing","0")</f>
        <v>0</v>
      </c>
      <c r="K4" s="110" t="str">
        <f>IFS('Justin P'!G4="1 year ext.", "0", 'Justin P'!G4="2 year ext.", "0", 'Justin P'!G4="3 year ext.", 'Justin P'!C4+15, 'Justin P'!G4="Releasing","0")</f>
        <v>0</v>
      </c>
      <c r="L4" s="165"/>
      <c r="M4" s="196"/>
    </row>
    <row r="5" ht="12.75" customHeight="1">
      <c r="A5" s="103"/>
      <c r="B5" s="165"/>
      <c r="C5" s="165"/>
      <c r="D5" s="165"/>
      <c r="E5" s="172"/>
      <c r="F5" s="165"/>
      <c r="G5" s="165"/>
      <c r="H5" s="105"/>
      <c r="I5" s="165"/>
      <c r="J5" s="165"/>
      <c r="K5" s="165"/>
      <c r="L5" s="165"/>
      <c r="M5" s="196" t="s">
        <v>129</v>
      </c>
    </row>
    <row r="6" ht="12.75" customHeight="1">
      <c r="A6" s="117" t="s">
        <v>476</v>
      </c>
      <c r="B6" s="172" t="s">
        <v>24</v>
      </c>
      <c r="C6" s="203">
        <v>29.0</v>
      </c>
      <c r="D6" s="203">
        <v>2021.0</v>
      </c>
      <c r="E6" s="170" t="str">
        <f>IFS('Justin P'!G6="1 year ext.", "1 of 1 years (ext.)", 'Justin P'!G6="2 year ext.", "1 of 2 years (ext.)", 'Justin P'!G6="3 year ext.", "1 of 3 years (ext.)", 'Justin P'!G6="Releasing","Releasing")</f>
        <v>Releasing</v>
      </c>
      <c r="F6" s="112" t="s">
        <v>320</v>
      </c>
      <c r="G6" s="168" t="s">
        <v>326</v>
      </c>
      <c r="H6" s="105">
        <v>29.0</v>
      </c>
      <c r="I6" s="197" t="str">
        <f>IFS('Justin P'!G6="1 year ext.", 'Justin P'!C6+5, 'Justin P'!G6="2 year ext.", 'Justin P'!C6+5, 'Justin P'!G6="3 year ext.", 'Justin P'!C6+5, 'Justin P'!G6="Releasing","0")</f>
        <v>0</v>
      </c>
      <c r="J6" s="110" t="str">
        <f>IFS('Justin P'!G6="1 year ext.", "0", 'Justin P'!G6="2 year ext.", 'Justin P'!C6+10, 'Justin P'!G6="3 year ext.", 'Justin P'!C6+10, 'Justin P'!G6="Releasing","0")</f>
        <v>0</v>
      </c>
      <c r="K6" s="110" t="str">
        <f>IFS('Justin P'!G6="1 year ext.", "0", 'Justin P'!G6="2 year ext.", "0", 'Justin P'!G6="3 year ext.", 'Justin P'!C6+15, 'Justin P'!G6="Releasing","0")</f>
        <v>0</v>
      </c>
      <c r="L6" s="200"/>
      <c r="M6" s="199" t="s">
        <v>129</v>
      </c>
    </row>
    <row r="7" ht="12.75" customHeight="1">
      <c r="A7" s="117" t="s">
        <v>477</v>
      </c>
      <c r="B7" s="172" t="s">
        <v>24</v>
      </c>
      <c r="C7" s="203">
        <v>20.0</v>
      </c>
      <c r="D7" s="203">
        <v>2021.0</v>
      </c>
      <c r="E7" s="170" t="str">
        <f>IFS('Justin P'!G7="1 year ext.", "1 of 1 years (ext.)", 'Justin P'!G7="2 year ext.", "1 of 2 years (ext.)", 'Justin P'!G7="3 year ext.", "1 of 3 years (ext.)", 'Justin P'!G7="Releasing","Releasing")</f>
        <v>Releasing</v>
      </c>
      <c r="F7" s="112" t="s">
        <v>320</v>
      </c>
      <c r="G7" s="168" t="s">
        <v>326</v>
      </c>
      <c r="H7" s="105">
        <v>20.0</v>
      </c>
      <c r="I7" s="197" t="str">
        <f>IFS('Justin P'!G7="1 year ext.", 'Justin P'!C7+5, 'Justin P'!G7="2 year ext.", 'Justin P'!C7+5, 'Justin P'!G7="3 year ext.", 'Justin P'!C7+5, 'Justin P'!G7="Releasing","0")</f>
        <v>0</v>
      </c>
      <c r="J7" s="110" t="str">
        <f>IFS('Justin P'!G7="1 year ext.", "0", 'Justin P'!G7="2 year ext.", 'Justin P'!C7+10, 'Justin P'!G7="3 year ext.", 'Justin P'!C7+10, 'Justin P'!G7="Releasing","0")</f>
        <v>0</v>
      </c>
      <c r="K7" s="110" t="str">
        <f>IFS('Justin P'!G7="1 year ext.", "0", 'Justin P'!G7="2 year ext.", "0", 'Justin P'!G7="3 year ext.", 'Justin P'!C7+15, 'Justin P'!G7="Releasing","0")</f>
        <v>0</v>
      </c>
      <c r="L7" s="172"/>
      <c r="M7" s="196" t="s">
        <v>129</v>
      </c>
    </row>
    <row r="8" ht="12.75" customHeight="1">
      <c r="A8" s="117" t="s">
        <v>478</v>
      </c>
      <c r="B8" s="172" t="s">
        <v>24</v>
      </c>
      <c r="C8" s="203">
        <v>9.0</v>
      </c>
      <c r="D8" s="203">
        <v>2021.0</v>
      </c>
      <c r="E8" s="170" t="str">
        <f>IFS('Justin P'!G8="1 year ext.", "1 of 1 years (ext.)", 'Justin P'!G8="2 year ext.", "1 of 2 years (ext.)", 'Justin P'!G8="3 year ext.", "1 of 3 years (ext.)", 'Justin P'!G8="Releasing","Releasing")</f>
        <v>Releasing</v>
      </c>
      <c r="F8" s="112" t="s">
        <v>320</v>
      </c>
      <c r="G8" s="168" t="s">
        <v>326</v>
      </c>
      <c r="H8" s="105">
        <v>9.0</v>
      </c>
      <c r="I8" s="197" t="str">
        <f>IFS('Justin P'!G8="1 year ext.", 'Justin P'!C8+5, 'Justin P'!G8="2 year ext.", 'Justin P'!C8+5, 'Justin P'!G8="3 year ext.", 'Justin P'!C8+5, 'Justin P'!G8="Releasing","0")</f>
        <v>0</v>
      </c>
      <c r="J8" s="110" t="str">
        <f>IFS('Justin P'!G8="1 year ext.", "0", 'Justin P'!G8="2 year ext.", 'Justin P'!C8+10, 'Justin P'!G8="3 year ext.", 'Justin P'!C8+10, 'Justin P'!G8="Releasing","0")</f>
        <v>0</v>
      </c>
      <c r="K8" s="110" t="str">
        <f>IFS('Justin P'!G8="1 year ext.", "0", 'Justin P'!G8="2 year ext.", "0", 'Justin P'!G8="3 year ext.", 'Justin P'!C8+15, 'Justin P'!G8="Releasing","0")</f>
        <v>0</v>
      </c>
      <c r="L8" s="172"/>
      <c r="M8" s="196" t="s">
        <v>371</v>
      </c>
    </row>
    <row r="9" ht="12.75" customHeight="1">
      <c r="A9" s="228" t="s">
        <v>479</v>
      </c>
      <c r="B9" s="172" t="s">
        <v>24</v>
      </c>
      <c r="C9" s="203">
        <v>1.0</v>
      </c>
      <c r="D9" s="203">
        <v>2021.0</v>
      </c>
      <c r="E9" s="170" t="str">
        <f>IFS('Justin P'!G9="1 year ext.", "1 of 1 years (ext.)", 'Justin P'!G9="2 year ext.", "1 of 2 years (ext.)", 'Justin P'!G9="3 year ext.", "1 of 3 years (ext.)", 'Justin P'!G9="Releasing","Releasing")</f>
        <v>Releasing</v>
      </c>
      <c r="F9" s="112" t="s">
        <v>320</v>
      </c>
      <c r="G9" s="168" t="s">
        <v>326</v>
      </c>
      <c r="H9" s="105">
        <v>1.0</v>
      </c>
      <c r="I9" s="197" t="str">
        <f>IFS('Justin P'!G9="1 year ext.", 'Justin P'!C9+5, 'Justin P'!G9="2 year ext.", 'Justin P'!C9+5, 'Justin P'!G9="3 year ext.", 'Justin P'!C9+5, 'Justin P'!G9="Releasing","0")</f>
        <v>0</v>
      </c>
      <c r="J9" s="110" t="str">
        <f>IFS('Justin P'!G9="1 year ext.", "0", 'Justin P'!G9="2 year ext.", 'Justin P'!C9+10, 'Justin P'!G9="3 year ext.", 'Justin P'!C9+10, 'Justin P'!G9="Releasing","0")</f>
        <v>0</v>
      </c>
      <c r="K9" s="110" t="str">
        <f>IFS('Justin P'!G9="1 year ext.", "0", 'Justin P'!G9="2 year ext.", "0", 'Justin P'!G9="3 year ext.", 'Justin P'!C9+15, 'Justin P'!G9="Releasing","0")</f>
        <v>0</v>
      </c>
      <c r="L9" s="172"/>
      <c r="M9" s="199"/>
    </row>
    <row r="10" ht="12.75" customHeight="1">
      <c r="A10" s="117" t="s">
        <v>480</v>
      </c>
      <c r="B10" s="172" t="s">
        <v>24</v>
      </c>
      <c r="C10" s="203">
        <v>1.0</v>
      </c>
      <c r="D10" s="203">
        <v>2021.0</v>
      </c>
      <c r="E10" s="170" t="str">
        <f>IFS('Justin P'!G10="1 year ext.", "1 of 1 years (ext.)", 'Justin P'!G10="2 year ext.", "1 of 2 years (ext.)", 'Justin P'!G10="3 year ext.", "1 of 3 years (ext.)", 'Justin P'!G10="Releasing","Releasing")</f>
        <v>Releasing</v>
      </c>
      <c r="F10" s="112" t="s">
        <v>320</v>
      </c>
      <c r="G10" s="168" t="s">
        <v>326</v>
      </c>
      <c r="H10" s="105">
        <v>1.0</v>
      </c>
      <c r="I10" s="197" t="str">
        <f>IFS('Justin P'!G10="1 year ext.", 'Justin P'!C10+5, 'Justin P'!G10="2 year ext.", 'Justin P'!C10+5, 'Justin P'!G10="3 year ext.", 'Justin P'!C10+5, 'Justin P'!G10="Releasing","0")</f>
        <v>0</v>
      </c>
      <c r="J10" s="110" t="str">
        <f>IFS('Justin P'!G10="1 year ext.", "0", 'Justin P'!G10="2 year ext.", 'Justin P'!C10+10, 'Justin P'!G10="3 year ext.", 'Justin P'!C10+10, 'Justin P'!G10="Releasing","0")</f>
        <v>0</v>
      </c>
      <c r="K10" s="110" t="str">
        <f>IFS('Justin P'!G10="1 year ext.", "0", 'Justin P'!G10="2 year ext.", "0", 'Justin P'!G10="3 year ext.", 'Justin P'!C10+15, 'Justin P'!G10="Releasing","0")</f>
        <v>0</v>
      </c>
      <c r="L10" s="172"/>
      <c r="M10" s="199" t="s">
        <v>129</v>
      </c>
    </row>
    <row r="11" ht="12.75" customHeight="1">
      <c r="A11" s="117" t="s">
        <v>481</v>
      </c>
      <c r="B11" s="172" t="s">
        <v>24</v>
      </c>
      <c r="C11" s="203">
        <v>1.0</v>
      </c>
      <c r="D11" s="203">
        <v>2021.0</v>
      </c>
      <c r="E11" s="170" t="str">
        <f>IFS('Justin P'!G11="1 year ext.", "1 of 1 years (ext.)", 'Justin P'!G11="2 year ext.", "1 of 2 years (ext.)", 'Justin P'!G11="3 year ext.", "1 of 3 years (ext.)", 'Justin P'!G11="Releasing","Releasing")</f>
        <v>Releasing</v>
      </c>
      <c r="F11" s="112" t="s">
        <v>320</v>
      </c>
      <c r="G11" s="168" t="s">
        <v>326</v>
      </c>
      <c r="H11" s="105">
        <v>1.0</v>
      </c>
      <c r="I11" s="197" t="str">
        <f>IFS('Justin P'!G11="1 year ext.", 'Justin P'!C11+5, 'Justin P'!G11="2 year ext.", 'Justin P'!C11+5, 'Justin P'!G11="3 year ext.", 'Justin P'!C11+5, 'Justin P'!G11="Releasing","0")</f>
        <v>0</v>
      </c>
      <c r="J11" s="110" t="str">
        <f>IFS('Justin P'!G11="1 year ext.", "0", 'Justin P'!G11="2 year ext.", 'Justin P'!C11+10, 'Justin P'!G11="3 year ext.", 'Justin P'!C11+10, 'Justin P'!G11="Releasing","0")</f>
        <v>0</v>
      </c>
      <c r="K11" s="110" t="str">
        <f>IFS('Justin P'!G11="1 year ext.", "0", 'Justin P'!G11="2 year ext.", "0", 'Justin P'!G11="3 year ext.", 'Justin P'!C11+15, 'Justin P'!G11="Releasing","0")</f>
        <v>0</v>
      </c>
      <c r="L11" s="172"/>
    </row>
    <row r="12" ht="12.75" customHeight="1">
      <c r="A12" s="117" t="s">
        <v>216</v>
      </c>
      <c r="B12" s="172" t="s">
        <v>24</v>
      </c>
      <c r="C12" s="203">
        <v>12.0</v>
      </c>
      <c r="D12" s="203">
        <v>2022.0</v>
      </c>
      <c r="E12" s="251" t="s">
        <v>343</v>
      </c>
      <c r="F12" s="112" t="s">
        <v>323</v>
      </c>
      <c r="G12" s="172"/>
      <c r="H12" s="105">
        <v>12.0</v>
      </c>
      <c r="I12" s="172"/>
      <c r="J12" s="172"/>
      <c r="K12" s="172"/>
      <c r="L12" s="172"/>
    </row>
    <row r="13" ht="12.75" customHeight="1">
      <c r="A13" s="117" t="s">
        <v>217</v>
      </c>
      <c r="B13" s="172" t="s">
        <v>24</v>
      </c>
      <c r="C13" s="203">
        <v>11.0</v>
      </c>
      <c r="D13" s="203">
        <v>2022.0</v>
      </c>
      <c r="E13" s="251" t="s">
        <v>343</v>
      </c>
      <c r="F13" s="112" t="s">
        <v>323</v>
      </c>
      <c r="G13" s="172"/>
      <c r="H13" s="105">
        <v>11.0</v>
      </c>
      <c r="I13" s="172"/>
      <c r="J13" s="172"/>
      <c r="K13" s="172"/>
      <c r="L13" s="172"/>
    </row>
    <row r="14" ht="12.75" customHeight="1">
      <c r="A14" s="117"/>
      <c r="B14" s="172"/>
      <c r="C14" s="172"/>
      <c r="D14" s="172"/>
      <c r="E14" s="172"/>
      <c r="F14" s="172"/>
      <c r="G14" s="172"/>
      <c r="H14" s="105"/>
      <c r="I14" s="172"/>
      <c r="J14" s="172"/>
      <c r="K14" s="172"/>
      <c r="L14" s="172"/>
      <c r="M14" s="199" t="s">
        <v>129</v>
      </c>
    </row>
    <row r="15" ht="12.75" customHeight="1">
      <c r="A15" s="258" t="s">
        <v>482</v>
      </c>
      <c r="B15" s="175" t="s">
        <v>63</v>
      </c>
      <c r="C15" s="205">
        <v>40.0</v>
      </c>
      <c r="D15" s="205">
        <v>2021.0</v>
      </c>
      <c r="E15" s="170" t="str">
        <f>IFS('Justin P'!G15="1 year ext.", "1 of 1 years (ext.)", 'Justin P'!G15="2 year ext.", "1 of 2 years (ext.)", 'Justin P'!G15="3 year ext.", "1 of 3 years (ext.)", 'Justin P'!G15="Releasing","Releasing")</f>
        <v>1 of 1 years (ext.)</v>
      </c>
      <c r="F15" s="112" t="s">
        <v>320</v>
      </c>
      <c r="G15" s="168" t="s">
        <v>321</v>
      </c>
      <c r="H15" s="105">
        <v>40.0</v>
      </c>
      <c r="I15" s="197">
        <f>IFS('Justin P'!G15="1 year ext.", 'Justin P'!C15+5, 'Justin P'!G15="2 year ext.", 'Justin P'!C15+5, 'Justin P'!G15="3 year ext.", 'Justin P'!C15+5, 'Justin P'!G15="Releasing","0")</f>
        <v>45</v>
      </c>
      <c r="J15" s="110" t="str">
        <f>IFS('Justin P'!G15="1 year ext.", "0", 'Justin P'!G15="2 year ext.", 'Justin P'!C15+10, 'Justin P'!G15="3 year ext.", 'Justin P'!C15+10, 'Justin P'!G15="Releasing","0")</f>
        <v>0</v>
      </c>
      <c r="K15" s="110" t="str">
        <f>IFS('Justin P'!G15="1 year ext.", "0", 'Justin P'!G15="2 year ext.", "0", 'Justin P'!G15="3 year ext.", 'Justin P'!C15+15, 'Justin P'!G15="Releasing","0")</f>
        <v>0</v>
      </c>
      <c r="L15" s="176"/>
      <c r="M15" s="199"/>
    </row>
    <row r="16" ht="12.75" customHeight="1">
      <c r="A16" s="125" t="s">
        <v>483</v>
      </c>
      <c r="B16" s="176" t="s">
        <v>63</v>
      </c>
      <c r="C16" s="207">
        <v>43.0</v>
      </c>
      <c r="D16" s="205">
        <v>2021.0</v>
      </c>
      <c r="E16" s="170" t="str">
        <f>IFS('Justin P'!G16="1 year ext.", "1 of 1 years (ext.)", 'Justin P'!G16="2 year ext.", "1 of 2 years (ext.)", 'Justin P'!G16="3 year ext.", "1 of 3 years (ext.)", 'Justin P'!G16="Releasing","Releasing")</f>
        <v>Releasing</v>
      </c>
      <c r="F16" s="112" t="s">
        <v>320</v>
      </c>
      <c r="G16" s="168" t="s">
        <v>326</v>
      </c>
      <c r="H16" s="105">
        <v>43.0</v>
      </c>
      <c r="I16" s="197" t="str">
        <f>IFS('Justin P'!G16="1 year ext.", 'Justin P'!C16+5, 'Justin P'!G16="2 year ext.", 'Justin P'!C16+5, 'Justin P'!G16="3 year ext.", 'Justin P'!C16+5, 'Justin P'!G16="Releasing","0")</f>
        <v>0</v>
      </c>
      <c r="J16" s="110" t="str">
        <f>IFS('Justin P'!G16="1 year ext.", "0", 'Justin P'!G16="2 year ext.", 'Justin P'!C16+10, 'Justin P'!G16="3 year ext.", 'Justin P'!C16+10, 'Justin P'!G16="Releasing","0")</f>
        <v>0</v>
      </c>
      <c r="K16" s="110" t="str">
        <f>IFS('Justin P'!G16="1 year ext.", "0", 'Justin P'!G16="2 year ext.", "0", 'Justin P'!G16="3 year ext.", 'Justin P'!C16+15, 'Justin P'!G16="Releasing","0")</f>
        <v>0</v>
      </c>
      <c r="L16" s="176"/>
      <c r="M16" s="199"/>
    </row>
    <row r="17" ht="12.75" customHeight="1">
      <c r="A17" s="125" t="s">
        <v>484</v>
      </c>
      <c r="B17" s="176" t="s">
        <v>63</v>
      </c>
      <c r="C17" s="207">
        <v>15.0</v>
      </c>
      <c r="D17" s="205">
        <v>2021.0</v>
      </c>
      <c r="E17" s="170" t="str">
        <f>IFS('Justin P'!G17="1 year ext.", "1 of 1 years (ext.)", 'Justin P'!G17="2 year ext.", "1 of 2 years (ext.)", 'Justin P'!G17="3 year ext.", "1 of 3 years (ext.)", 'Justin P'!G17="Releasing","Releasing")</f>
        <v>Releasing</v>
      </c>
      <c r="F17" s="112" t="s">
        <v>320</v>
      </c>
      <c r="G17" s="168" t="s">
        <v>326</v>
      </c>
      <c r="H17" s="105">
        <v>15.0</v>
      </c>
      <c r="I17" s="197" t="str">
        <f>IFS('Justin P'!G17="1 year ext.", 'Justin P'!C17+5, 'Justin P'!G17="2 year ext.", 'Justin P'!C17+5, 'Justin P'!G17="3 year ext.", 'Justin P'!C17+5, 'Justin P'!G17="Releasing","0")</f>
        <v>0</v>
      </c>
      <c r="J17" s="110" t="str">
        <f>IFS('Justin P'!G17="1 year ext.", "0", 'Justin P'!G17="2 year ext.", 'Justin P'!C17+10, 'Justin P'!G17="3 year ext.", 'Justin P'!C17+10, 'Justin P'!G17="Releasing","0")</f>
        <v>0</v>
      </c>
      <c r="K17" s="110" t="str">
        <f>IFS('Justin P'!G17="1 year ext.", "0", 'Justin P'!G17="2 year ext.", "0", 'Justin P'!G17="3 year ext.", 'Justin P'!C17+15, 'Justin P'!G17="Releasing","0")</f>
        <v>0</v>
      </c>
      <c r="L17" s="176"/>
      <c r="M17" s="196" t="s">
        <v>129</v>
      </c>
    </row>
    <row r="18" ht="12.75" customHeight="1">
      <c r="A18" s="125" t="s">
        <v>485</v>
      </c>
      <c r="B18" s="176" t="s">
        <v>63</v>
      </c>
      <c r="C18" s="207">
        <v>14.0</v>
      </c>
      <c r="D18" s="205">
        <v>2021.0</v>
      </c>
      <c r="E18" s="170" t="str">
        <f>IFS('Justin P'!G18="1 year ext.", "1 of 1 years (ext.)", 'Justin P'!G18="2 year ext.", "1 of 2 years (ext.)", 'Justin P'!G18="3 year ext.", "1 of 3 years (ext.)", 'Justin P'!G18="Releasing","Releasing")</f>
        <v>Releasing</v>
      </c>
      <c r="F18" s="112" t="s">
        <v>320</v>
      </c>
      <c r="G18" s="168" t="s">
        <v>326</v>
      </c>
      <c r="H18" s="105">
        <v>14.0</v>
      </c>
      <c r="I18" s="197" t="str">
        <f>IFS('Justin P'!G18="1 year ext.", 'Justin P'!C18+5, 'Justin P'!G18="2 year ext.", 'Justin P'!C18+5, 'Justin P'!G18="3 year ext.", 'Justin P'!C18+5, 'Justin P'!G18="Releasing","0")</f>
        <v>0</v>
      </c>
      <c r="J18" s="110" t="str">
        <f>IFS('Justin P'!G18="1 year ext.", "0", 'Justin P'!G18="2 year ext.", 'Justin P'!C18+10, 'Justin P'!G18="3 year ext.", 'Justin P'!C18+10, 'Justin P'!G18="Releasing","0")</f>
        <v>0</v>
      </c>
      <c r="K18" s="110" t="str">
        <f>IFS('Justin P'!G18="1 year ext.", "0", 'Justin P'!G18="2 year ext.", "0", 'Justin P'!G18="3 year ext.", 'Justin P'!C18+15, 'Justin P'!G18="Releasing","0")</f>
        <v>0</v>
      </c>
      <c r="L18" s="176"/>
      <c r="M18" s="196"/>
    </row>
    <row r="19" ht="12.75" customHeight="1">
      <c r="A19" s="125" t="s">
        <v>486</v>
      </c>
      <c r="B19" s="176" t="s">
        <v>63</v>
      </c>
      <c r="C19" s="207">
        <v>3.0</v>
      </c>
      <c r="D19" s="205">
        <v>2021.0</v>
      </c>
      <c r="E19" s="170" t="str">
        <f>IFS('Justin P'!G19="1 year ext.", "1 of 1 years (ext.)", 'Justin P'!G19="2 year ext.", "1 of 2 years (ext.)", 'Justin P'!G19="3 year ext.", "1 of 3 years (ext.)", 'Justin P'!G19="Releasing","Releasing")</f>
        <v>1 of 1 years (ext.)</v>
      </c>
      <c r="F19" s="112" t="s">
        <v>320</v>
      </c>
      <c r="G19" s="168" t="s">
        <v>321</v>
      </c>
      <c r="H19" s="105">
        <v>3.0</v>
      </c>
      <c r="I19" s="197">
        <f>IFS('Justin P'!G19="1 year ext.", 'Justin P'!C19+5, 'Justin P'!G19="2 year ext.", 'Justin P'!C19+5, 'Justin P'!G19="3 year ext.", 'Justin P'!C19+5, 'Justin P'!G19="Releasing","0")</f>
        <v>8</v>
      </c>
      <c r="J19" s="110" t="str">
        <f>IFS('Justin P'!G19="1 year ext.", "0", 'Justin P'!G19="2 year ext.", 'Justin P'!C19+10, 'Justin P'!G19="3 year ext.", 'Justin P'!C19+10, 'Justin P'!G19="Releasing","0")</f>
        <v>0</v>
      </c>
      <c r="K19" s="110" t="str">
        <f>IFS('Justin P'!G19="1 year ext.", "0", 'Justin P'!G19="2 year ext.", "0", 'Justin P'!G19="3 year ext.", 'Justin P'!C19+15, 'Justin P'!G19="Releasing","0")</f>
        <v>0</v>
      </c>
      <c r="L19" s="176"/>
      <c r="M19" s="196"/>
    </row>
    <row r="20" ht="12.75" customHeight="1">
      <c r="A20" s="125" t="s">
        <v>487</v>
      </c>
      <c r="B20" s="176" t="s">
        <v>63</v>
      </c>
      <c r="C20" s="207">
        <v>1.0</v>
      </c>
      <c r="D20" s="205">
        <v>2021.0</v>
      </c>
      <c r="E20" s="170" t="str">
        <f>IFS('Justin P'!G20="1 year ext.", "1 of 1 years (ext.)", 'Justin P'!G20="2 year ext.", "1 of 2 years (ext.)", 'Justin P'!G20="3 year ext.", "1 of 3 years (ext.)", 'Justin P'!G20="Releasing","Releasing")</f>
        <v>Releasing</v>
      </c>
      <c r="F20" s="112" t="s">
        <v>320</v>
      </c>
      <c r="G20" s="168" t="s">
        <v>326</v>
      </c>
      <c r="H20" s="105">
        <v>1.0</v>
      </c>
      <c r="I20" s="197" t="str">
        <f>IFS('Justin P'!G20="1 year ext.", 'Justin P'!C20+5, 'Justin P'!G20="2 year ext.", 'Justin P'!C20+5, 'Justin P'!G20="3 year ext.", 'Justin P'!C20+5, 'Justin P'!G20="Releasing","0")</f>
        <v>0</v>
      </c>
      <c r="J20" s="110" t="str">
        <f>IFS('Justin P'!G20="1 year ext.", "0", 'Justin P'!G20="2 year ext.", 'Justin P'!C20+10, 'Justin P'!G20="3 year ext.", 'Justin P'!C20+10, 'Justin P'!G20="Releasing","0")</f>
        <v>0</v>
      </c>
      <c r="K20" s="110" t="str">
        <f>IFS('Justin P'!G20="1 year ext.", "0", 'Justin P'!G20="2 year ext.", "0", 'Justin P'!G20="3 year ext.", 'Justin P'!C20+15, 'Justin P'!G20="Releasing","0")</f>
        <v>0</v>
      </c>
      <c r="L20" s="176"/>
      <c r="M20" s="196"/>
    </row>
    <row r="21" ht="12.75" customHeight="1">
      <c r="A21" s="125" t="s">
        <v>488</v>
      </c>
      <c r="B21" s="176" t="s">
        <v>63</v>
      </c>
      <c r="C21" s="207">
        <v>1.0</v>
      </c>
      <c r="D21" s="205">
        <v>2021.0</v>
      </c>
      <c r="E21" s="170" t="str">
        <f>IFS('Justin P'!G21="1 year ext.", "1 of 1 years (ext.)", 'Justin P'!G21="2 year ext.", "1 of 2 years (ext.)", 'Justin P'!G21="3 year ext.", "1 of 3 years (ext.)", 'Justin P'!G21="Releasing","Releasing")</f>
        <v>Releasing</v>
      </c>
      <c r="F21" s="112" t="s">
        <v>320</v>
      </c>
      <c r="G21" s="168" t="s">
        <v>326</v>
      </c>
      <c r="H21" s="105">
        <v>1.0</v>
      </c>
      <c r="I21" s="197" t="str">
        <f>IFS('Justin P'!G21="1 year ext.", 'Justin P'!C21+5, 'Justin P'!G21="2 year ext.", 'Justin P'!C21+5, 'Justin P'!G21="3 year ext.", 'Justin P'!C21+5, 'Justin P'!G21="Releasing","0")</f>
        <v>0</v>
      </c>
      <c r="J21" s="110" t="str">
        <f>IFS('Justin P'!G21="1 year ext.", "0", 'Justin P'!G21="2 year ext.", 'Justin P'!C21+10, 'Justin P'!G21="3 year ext.", 'Justin P'!C21+10, 'Justin P'!G21="Releasing","0")</f>
        <v>0</v>
      </c>
      <c r="K21" s="110" t="str">
        <f>IFS('Justin P'!G21="1 year ext.", "0", 'Justin P'!G21="2 year ext.", "0", 'Justin P'!G21="3 year ext.", 'Justin P'!C21+15, 'Justin P'!G21="Releasing","0")</f>
        <v>0</v>
      </c>
      <c r="L21" s="176"/>
      <c r="M21" s="196"/>
    </row>
    <row r="22" ht="12.75" customHeight="1">
      <c r="A22" s="125"/>
      <c r="B22" s="176"/>
      <c r="C22" s="176"/>
      <c r="D22" s="175"/>
      <c r="E22" s="175"/>
      <c r="F22" s="176"/>
      <c r="G22" s="176"/>
      <c r="H22" s="105"/>
      <c r="I22" s="176"/>
      <c r="J22" s="176"/>
      <c r="K22" s="176"/>
      <c r="L22" s="176"/>
      <c r="M22" s="196"/>
    </row>
    <row r="23" ht="12.75" customHeight="1">
      <c r="A23" s="131" t="s">
        <v>489</v>
      </c>
      <c r="B23" s="177" t="s">
        <v>111</v>
      </c>
      <c r="C23" s="210">
        <v>3.0</v>
      </c>
      <c r="D23" s="210">
        <v>2021.0</v>
      </c>
      <c r="E23" s="170" t="str">
        <f>IFS('Justin P'!G23="1 year ext.", "1 of 1 years (ext.)", 'Justin P'!G23="2 year ext.", "1 of 2 years (ext.)", 'Justin P'!G23="3 year ext.", "1 of 3 years (ext.)", 'Justin P'!G23="Releasing","Releasing")</f>
        <v>Releasing</v>
      </c>
      <c r="F23" s="112" t="s">
        <v>320</v>
      </c>
      <c r="G23" s="168" t="s">
        <v>326</v>
      </c>
      <c r="H23" s="105">
        <v>3.0</v>
      </c>
      <c r="I23" s="197" t="str">
        <f>IFS('Justin P'!G23="1 year ext.", 'Justin P'!C23+5, 'Justin P'!G23="2 year ext.", 'Justin P'!C23+5, 'Justin P'!G23="3 year ext.", 'Justin P'!C23+5, 'Justin P'!G23="Releasing","0")</f>
        <v>0</v>
      </c>
      <c r="J23" s="110" t="str">
        <f>IFS('Justin P'!G23="1 year ext.", "0", 'Justin P'!G23="2 year ext.", 'Justin P'!C23+10, 'Justin P'!G23="3 year ext.", 'Justin P'!C23+10, 'Justin P'!G23="Releasing","0")</f>
        <v>0</v>
      </c>
      <c r="K23" s="110" t="str">
        <f>IFS('Justin P'!G23="1 year ext.", "0", 'Justin P'!G23="2 year ext.", "0", 'Justin P'!G23="3 year ext.", 'Justin P'!C23+15, 'Justin P'!G23="Releasing","0")</f>
        <v>0</v>
      </c>
      <c r="L23" s="176"/>
      <c r="M23" s="196" t="s">
        <v>129</v>
      </c>
    </row>
    <row r="24" ht="12.75" customHeight="1">
      <c r="A24" s="131" t="s">
        <v>490</v>
      </c>
      <c r="B24" s="177" t="s">
        <v>111</v>
      </c>
      <c r="C24" s="210">
        <v>15.0</v>
      </c>
      <c r="D24" s="210">
        <v>2022.0</v>
      </c>
      <c r="E24" s="251" t="s">
        <v>343</v>
      </c>
      <c r="F24" s="112" t="s">
        <v>323</v>
      </c>
      <c r="G24" s="176"/>
      <c r="H24" s="105">
        <v>15.0</v>
      </c>
      <c r="I24" s="176"/>
      <c r="J24" s="176"/>
      <c r="K24" s="176"/>
      <c r="L24" s="176"/>
      <c r="M24" s="196" t="s">
        <v>129</v>
      </c>
    </row>
    <row r="25" ht="12.75" customHeight="1">
      <c r="A25" s="131" t="s">
        <v>491</v>
      </c>
      <c r="B25" s="177" t="s">
        <v>111</v>
      </c>
      <c r="C25" s="210">
        <v>1.0</v>
      </c>
      <c r="D25" s="210">
        <v>2021.0</v>
      </c>
      <c r="E25" s="170" t="str">
        <f>IFS('Justin P'!G25="1 year ext.", "1 of 1 years (ext.)", 'Justin P'!G25="2 year ext.", "1 of 2 years (ext.)", 'Justin P'!G25="3 year ext.", "1 of 3 years (ext.)", 'Justin P'!G25="Releasing","Releasing")</f>
        <v>Releasing</v>
      </c>
      <c r="F25" s="112" t="s">
        <v>320</v>
      </c>
      <c r="G25" s="168" t="s">
        <v>326</v>
      </c>
      <c r="H25" s="105">
        <v>1.0</v>
      </c>
      <c r="I25" s="197" t="str">
        <f>IFS('Justin P'!G25="1 year ext.", 'Justin P'!C25+5, 'Justin P'!G25="2 year ext.", 'Justin P'!C25+5, 'Justin P'!G25="3 year ext.", 'Justin P'!C25+5, 'Justin P'!G25="Releasing","0")</f>
        <v>0</v>
      </c>
      <c r="J25" s="110" t="str">
        <f>IFS('Justin P'!G25="1 year ext.", "0", 'Justin P'!G25="2 year ext.", 'Justin P'!C25+10, 'Justin P'!G25="3 year ext.", 'Justin P'!C25+10, 'Justin P'!G25="Releasing","0")</f>
        <v>0</v>
      </c>
      <c r="K25" s="110" t="str">
        <f>IFS('Justin P'!G25="1 year ext.", "0", 'Justin P'!G25="2 year ext.", "0", 'Justin P'!G25="3 year ext.", 'Justin P'!C25+15, 'Justin P'!G25="Releasing","0")</f>
        <v>0</v>
      </c>
      <c r="L25" s="177"/>
      <c r="M25" s="196"/>
    </row>
    <row r="26" ht="12.75" customHeight="1">
      <c r="A26" s="131"/>
      <c r="B26" s="177"/>
      <c r="C26" s="177"/>
      <c r="D26" s="177"/>
      <c r="E26" s="177"/>
      <c r="F26" s="177"/>
      <c r="G26" s="177"/>
      <c r="H26" s="105"/>
      <c r="I26" s="177"/>
      <c r="J26" s="177"/>
      <c r="K26" s="177"/>
      <c r="L26" s="177"/>
      <c r="M26" s="196"/>
    </row>
    <row r="27" ht="12.75" customHeight="1">
      <c r="A27" s="133" t="s">
        <v>492</v>
      </c>
      <c r="B27" s="179" t="s">
        <v>124</v>
      </c>
      <c r="C27" s="234">
        <v>2.0</v>
      </c>
      <c r="D27" s="234">
        <v>2021.0</v>
      </c>
      <c r="E27" s="170" t="str">
        <f>IFS('Justin P'!G27="1 year ext.", "1 of 1 years (ext.)", 'Justin P'!G27="2 year ext.", "1 of 2 years (ext.)", 'Justin P'!G27="3 year ext.", "1 of 3 years (ext.)", 'Justin P'!G27="Releasing","Releasing")</f>
        <v>Releasing</v>
      </c>
      <c r="F27" s="112" t="s">
        <v>320</v>
      </c>
      <c r="G27" s="168" t="s">
        <v>326</v>
      </c>
      <c r="H27" s="105">
        <v>2.0</v>
      </c>
      <c r="I27" s="197" t="str">
        <f>IFS('Justin P'!G27="1 year ext.", 'Justin P'!C27+5, 'Justin P'!G27="2 year ext.", 'Justin P'!C27+5, 'Justin P'!G27="3 year ext.", 'Justin P'!C27+5, 'Justin P'!G27="Releasing","0")</f>
        <v>0</v>
      </c>
      <c r="J27" s="110" t="str">
        <f>IFS('Justin P'!G27="1 year ext.", "0", 'Justin P'!G27="2 year ext.", 'Justin P'!C27+10, 'Justin P'!G27="3 year ext.", 'Justin P'!C27+10, 'Justin P'!G27="Releasing","0")</f>
        <v>0</v>
      </c>
      <c r="K27" s="110" t="str">
        <f>IFS('Justin P'!G27="1 year ext.", "0", 'Justin P'!G27="2 year ext.", "0", 'Justin P'!G27="3 year ext.", 'Justin P'!C27+15, 'Justin P'!G27="Releasing","0")</f>
        <v>0</v>
      </c>
      <c r="L27" s="179"/>
      <c r="M27" s="196" t="s">
        <v>371</v>
      </c>
    </row>
    <row r="28" ht="12.75" customHeight="1">
      <c r="A28" s="133" t="s">
        <v>493</v>
      </c>
      <c r="B28" s="179" t="s">
        <v>124</v>
      </c>
      <c r="C28" s="234">
        <v>1.0</v>
      </c>
      <c r="D28" s="234">
        <v>2021.0</v>
      </c>
      <c r="E28" s="170" t="str">
        <f>IFS('Justin P'!G28="1 year ext.", "1 of 1 years (ext.)", 'Justin P'!G28="2 year ext.", "1 of 2 years (ext.)", 'Justin P'!G28="3 year ext.", "1 of 3 years (ext.)", 'Justin P'!G28="Releasing","Releasing")</f>
        <v>Releasing</v>
      </c>
      <c r="F28" s="112" t="s">
        <v>320</v>
      </c>
      <c r="G28" s="168" t="s">
        <v>326</v>
      </c>
      <c r="H28" s="105">
        <v>1.0</v>
      </c>
      <c r="I28" s="197" t="str">
        <f>IFS('Justin P'!G28="1 year ext.", 'Justin P'!C28+5, 'Justin P'!G28="2 year ext.", 'Justin P'!C28+5, 'Justin P'!G28="3 year ext.", 'Justin P'!C28+5, 'Justin P'!G28="Releasing","0")</f>
        <v>0</v>
      </c>
      <c r="J28" s="110" t="str">
        <f>IFS('Justin P'!G28="1 year ext.", "0", 'Justin P'!G28="2 year ext.", 'Justin P'!C28+10, 'Justin P'!G28="3 year ext.", 'Justin P'!C28+10, 'Justin P'!G28="Releasing","0")</f>
        <v>0</v>
      </c>
      <c r="K28" s="110" t="str">
        <f>IFS('Justin P'!G28="1 year ext.", "0", 'Justin P'!G28="2 year ext.", "0", 'Justin P'!G28="3 year ext.", 'Justin P'!C28+15, 'Justin P'!G28="Releasing","0")</f>
        <v>0</v>
      </c>
      <c r="L28" s="179"/>
      <c r="M28" s="196" t="s">
        <v>129</v>
      </c>
    </row>
    <row r="29" ht="12.75" customHeight="1">
      <c r="A29" s="133"/>
      <c r="B29" s="179"/>
      <c r="C29" s="179"/>
      <c r="D29" s="179"/>
      <c r="E29" s="179"/>
      <c r="F29" s="179"/>
      <c r="G29" s="179"/>
      <c r="H29" s="105"/>
      <c r="I29" s="179"/>
      <c r="J29" s="179"/>
      <c r="K29" s="179"/>
      <c r="L29" s="179"/>
      <c r="M29" s="196"/>
    </row>
    <row r="30" ht="12.75" customHeight="1">
      <c r="A30" s="135" t="s">
        <v>262</v>
      </c>
      <c r="B30" s="180" t="s">
        <v>133</v>
      </c>
      <c r="C30" s="214">
        <v>1.0</v>
      </c>
      <c r="D30" s="214">
        <v>2021.0</v>
      </c>
      <c r="E30" s="170" t="str">
        <f>IFS('Justin P'!G30="1 year ext.", "1 of 1 years (ext.)", 'Justin P'!G30="2 year ext.", "1 of 2 years (ext.)", 'Justin P'!G30="3 year ext.", "1 of 3 years (ext.)", 'Justin P'!G30="Releasing","Releasing")</f>
        <v>Releasing</v>
      </c>
      <c r="F30" s="112" t="s">
        <v>320</v>
      </c>
      <c r="G30" s="168" t="s">
        <v>326</v>
      </c>
      <c r="H30" s="105">
        <v>1.0</v>
      </c>
      <c r="I30" s="197" t="str">
        <f>IFS('Justin P'!G30="1 year ext.", 'Justin P'!C30+5, 'Justin P'!G30="2 year ext.", 'Justin P'!C30+5, 'Justin P'!G30="3 year ext.", 'Justin P'!C30+5, 'Justin P'!G30="Releasing","0")</f>
        <v>0</v>
      </c>
      <c r="J30" s="110" t="str">
        <f>IFS('Justin P'!G30="1 year ext.", "0", 'Justin P'!G30="2 year ext.", 'Justin P'!C30+10, 'Justin P'!G30="3 year ext.", 'Justin P'!C30+10, 'Justin P'!G30="Releasing","0")</f>
        <v>0</v>
      </c>
      <c r="K30" s="110" t="str">
        <f>IFS('Justin P'!G30="1 year ext.", "0", 'Justin P'!G30="2 year ext.", "0", 'Justin P'!G30="3 year ext.", 'Justin P'!C30+15, 'Justin P'!G30="Releasing","0")</f>
        <v>0</v>
      </c>
      <c r="L30" s="180"/>
      <c r="M30" s="199" t="s">
        <v>129</v>
      </c>
    </row>
    <row r="31" ht="12.75" customHeight="1">
      <c r="A31" s="135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96" t="s">
        <v>129</v>
      </c>
    </row>
    <row r="32" ht="12.75" customHeight="1">
      <c r="A32" s="216"/>
      <c r="B32" s="170"/>
      <c r="C32" s="170"/>
      <c r="D32" s="170"/>
      <c r="E32" s="172"/>
      <c r="F32" s="170"/>
      <c r="G32" s="170"/>
      <c r="H32" s="170"/>
      <c r="I32" s="170"/>
      <c r="J32" s="170"/>
      <c r="K32" s="170"/>
      <c r="L32" s="170"/>
      <c r="M32" s="196" t="s">
        <v>129</v>
      </c>
    </row>
    <row r="33" ht="12.75" customHeight="1">
      <c r="A33" s="140" t="s">
        <v>341</v>
      </c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96" t="s">
        <v>129</v>
      </c>
    </row>
    <row r="34" ht="12.75" customHeight="1">
      <c r="A34" s="146"/>
      <c r="B34" s="147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96" t="s">
        <v>129</v>
      </c>
    </row>
    <row r="35" ht="12.75" customHeight="1">
      <c r="A35" s="146"/>
      <c r="B35" s="147"/>
      <c r="C35" s="141"/>
      <c r="D35" s="141"/>
      <c r="E35" s="141"/>
      <c r="F35" s="141"/>
      <c r="G35" s="141"/>
      <c r="H35" s="141"/>
      <c r="I35" s="141"/>
      <c r="J35" s="141"/>
      <c r="K35" s="141"/>
      <c r="L35" s="141"/>
    </row>
    <row r="36" ht="12.75" customHeight="1">
      <c r="A36" s="146"/>
      <c r="B36" s="147"/>
      <c r="C36" s="141"/>
      <c r="D36" s="141"/>
      <c r="E36" s="141"/>
      <c r="F36" s="141"/>
      <c r="G36" s="141"/>
      <c r="H36" s="141"/>
      <c r="I36" s="141"/>
      <c r="J36" s="141"/>
      <c r="K36" s="141"/>
      <c r="L36" s="141"/>
    </row>
    <row r="37" ht="12.75" customHeight="1">
      <c r="A37" s="146"/>
      <c r="B37" s="147"/>
      <c r="C37" s="141"/>
      <c r="D37" s="141"/>
      <c r="E37" s="141"/>
      <c r="F37" s="141"/>
      <c r="G37" s="141"/>
      <c r="H37" s="141"/>
      <c r="I37" s="141"/>
      <c r="J37" s="141"/>
      <c r="K37" s="141"/>
      <c r="L37" s="141"/>
    </row>
    <row r="38" ht="12.75" customHeight="1">
      <c r="A38" s="146"/>
      <c r="B38" s="147"/>
      <c r="C38" s="141"/>
      <c r="D38" s="141"/>
      <c r="E38" s="141"/>
      <c r="F38" s="141"/>
      <c r="G38" s="141"/>
      <c r="H38" s="141"/>
      <c r="I38" s="141"/>
      <c r="J38" s="141"/>
      <c r="K38" s="141"/>
      <c r="L38" s="141"/>
    </row>
    <row r="39" ht="12.75" customHeight="1">
      <c r="A39" s="146"/>
      <c r="B39" s="147"/>
      <c r="C39" s="141"/>
      <c r="D39" s="141"/>
      <c r="E39" s="141"/>
      <c r="F39" s="141"/>
      <c r="G39" s="141"/>
      <c r="H39" s="141"/>
      <c r="I39" s="141"/>
      <c r="J39" s="141"/>
      <c r="K39" s="141"/>
      <c r="L39" s="141"/>
    </row>
    <row r="40" ht="12.75" customHeight="1">
      <c r="A40" s="146"/>
      <c r="B40" s="147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ht="12.75" customHeight="1">
      <c r="A41" s="146"/>
      <c r="B41" s="147"/>
      <c r="C41" s="141"/>
      <c r="D41" s="141"/>
      <c r="E41" s="141"/>
      <c r="F41" s="141"/>
      <c r="G41" s="141"/>
      <c r="H41" s="141"/>
      <c r="I41" s="141"/>
      <c r="J41" s="141"/>
      <c r="K41" s="141"/>
      <c r="L41" s="141"/>
    </row>
    <row r="42" ht="12.75" customHeight="1">
      <c r="A42" s="146"/>
      <c r="B42" s="147"/>
      <c r="C42" s="141"/>
      <c r="D42" s="141"/>
      <c r="E42" s="141"/>
      <c r="F42" s="141"/>
      <c r="G42" s="141"/>
      <c r="H42" s="141"/>
      <c r="I42" s="141"/>
      <c r="J42" s="141"/>
      <c r="K42" s="141"/>
      <c r="L42" s="141"/>
    </row>
    <row r="43" ht="12.75" customHeight="1">
      <c r="A43" s="185"/>
      <c r="B43" s="98"/>
      <c r="C43" s="186"/>
      <c r="D43" s="98"/>
      <c r="E43" s="98"/>
      <c r="F43" s="98"/>
      <c r="G43" s="98"/>
      <c r="H43" s="98"/>
      <c r="I43" s="98"/>
      <c r="J43" s="98"/>
      <c r="K43" s="98"/>
      <c r="L43" s="98"/>
    </row>
    <row r="44" ht="12.75" customHeight="1">
      <c r="A44" s="252" t="s">
        <v>349</v>
      </c>
      <c r="B44" s="154"/>
      <c r="C44" s="253">
        <f>SUM('Justin P'!C3:C42)</f>
        <v>233</v>
      </c>
      <c r="D44" s="256"/>
      <c r="E44" s="256"/>
      <c r="F44" s="156"/>
      <c r="G44" s="156"/>
      <c r="H44" s="253">
        <f>SUM('Justin P'!H3:H42)</f>
        <v>233</v>
      </c>
      <c r="I44" s="253">
        <f>SUM('Justin P'!I3:I42)</f>
        <v>53</v>
      </c>
      <c r="J44" s="253">
        <f>SUM('Justin P'!J3:J42)</f>
        <v>0</v>
      </c>
      <c r="K44" s="253">
        <f>SUM('Justin P'!K3:K42)</f>
        <v>0</v>
      </c>
      <c r="L44" s="156"/>
    </row>
    <row r="45" ht="12.75" customHeight="1">
      <c r="A45" s="254" t="s">
        <v>350</v>
      </c>
      <c r="B45" s="255"/>
      <c r="C45" s="255">
        <f>(250-'Justin P'!C44)</f>
        <v>17</v>
      </c>
      <c r="D45" s="98"/>
      <c r="E45" s="98"/>
      <c r="F45" s="98"/>
      <c r="G45" s="98"/>
      <c r="H45" s="255">
        <f>(250-'Justin P'!H44)</f>
        <v>17</v>
      </c>
      <c r="I45" s="255">
        <f>(250-'Justin P'!I44)</f>
        <v>197</v>
      </c>
      <c r="J45" s="255">
        <f>(250-'Justin P'!J44)</f>
        <v>250</v>
      </c>
      <c r="K45" s="255">
        <f>(250-'Justin P'!K44)</f>
        <v>250</v>
      </c>
      <c r="L45" s="98"/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G3:G4 G6:G11 G15:G21 G23 G25 G27:G28 G30">
      <formula1>"1 year ext.,2 year ext.,3 year ext.,Releasing"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7" width="19.86"/>
    <col customWidth="1" min="8" max="12" width="16.71"/>
    <col customWidth="1" min="13" max="32" width="8.86"/>
  </cols>
  <sheetData>
    <row r="1" ht="12.75" customHeight="1">
      <c r="A1" s="97" t="s">
        <v>183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ht="12.75" customHeight="1">
      <c r="A2" s="100" t="s">
        <v>7</v>
      </c>
      <c r="B2" s="101" t="s">
        <v>308</v>
      </c>
      <c r="C2" s="101" t="s">
        <v>351</v>
      </c>
      <c r="D2" s="101" t="s">
        <v>310</v>
      </c>
      <c r="E2" s="101" t="s">
        <v>352</v>
      </c>
      <c r="F2" s="163" t="s">
        <v>312</v>
      </c>
      <c r="G2" s="164" t="s">
        <v>313</v>
      </c>
      <c r="H2" s="164" t="s">
        <v>314</v>
      </c>
      <c r="I2" s="190" t="s">
        <v>315</v>
      </c>
      <c r="J2" s="190" t="s">
        <v>316</v>
      </c>
      <c r="K2" s="190" t="s">
        <v>317</v>
      </c>
      <c r="L2" s="101" t="s">
        <v>318</v>
      </c>
    </row>
    <row r="3" ht="12.75" customHeight="1">
      <c r="A3" s="103" t="s">
        <v>494</v>
      </c>
      <c r="B3" s="165" t="s">
        <v>9</v>
      </c>
      <c r="C3" s="192">
        <v>23.0</v>
      </c>
      <c r="D3" s="192">
        <v>2021.0</v>
      </c>
      <c r="E3" s="170" t="str">
        <f>IFS('Stephen P'!G3="1 year ext.", "1 of 1 years (ext.)", 'Stephen P'!G3="2 year ext.", "1 of 2 years (ext.)", 'Stephen P'!G3="3 year ext.", "1 of 3 years (ext.)", 'Stephen P'!G3="Releasing","Releasing")</f>
        <v>Releasing</v>
      </c>
      <c r="F3" s="112" t="s">
        <v>320</v>
      </c>
      <c r="G3" s="168" t="s">
        <v>326</v>
      </c>
      <c r="H3" s="166">
        <v>23.0</v>
      </c>
      <c r="I3" s="197" t="str">
        <f>IFS('Stephen P'!G3="1 year ext.", 'Stephen P'!C3+5, 'Stephen P'!G3="2 year ext.", 'Stephen P'!C3+5, 'Stephen P'!G3="3 year ext.", 'Stephen P'!C3+5, 'Stephen P'!G3="Releasing","0")</f>
        <v>0</v>
      </c>
      <c r="J3" s="110" t="str">
        <f>IFS('Stephen P'!G3="1 year ext.", "0", 'Stephen P'!G3="2 year ext.", 'Stephen P'!C3+10, 'Stephen P'!G3="3 year ext.", 'Stephen P'!C3+10, 'Stephen P'!G3="Releasing","0")</f>
        <v>0</v>
      </c>
      <c r="K3" s="110" t="str">
        <f>IFS('Stephen P'!G3="1 year ext.", "0", 'Stephen P'!G3="2 year ext.", "0", 'Stephen P'!G3="3 year ext.", 'Stephen P'!C3+15, 'Stephen P'!G3="Releasing","0")</f>
        <v>0</v>
      </c>
      <c r="L3" s="165"/>
      <c r="M3" s="196" t="s">
        <v>129</v>
      </c>
    </row>
    <row r="4" ht="12.75" customHeight="1">
      <c r="A4" s="103"/>
      <c r="B4" s="165"/>
      <c r="C4" s="165"/>
      <c r="D4" s="165"/>
      <c r="E4" s="172"/>
      <c r="F4" s="165"/>
      <c r="G4" s="165"/>
      <c r="H4" s="170"/>
      <c r="I4" s="165"/>
      <c r="J4" s="165"/>
      <c r="K4" s="165"/>
      <c r="L4" s="165"/>
      <c r="M4" s="196"/>
    </row>
    <row r="5" ht="12.75" customHeight="1">
      <c r="A5" s="103"/>
      <c r="B5" s="165"/>
      <c r="C5" s="165"/>
      <c r="D5" s="165"/>
      <c r="E5" s="172"/>
      <c r="F5" s="165"/>
      <c r="G5" s="165"/>
      <c r="H5" s="170"/>
      <c r="I5" s="165"/>
      <c r="J5" s="165"/>
      <c r="K5" s="165"/>
      <c r="L5" s="165"/>
      <c r="M5" s="196" t="s">
        <v>129</v>
      </c>
    </row>
    <row r="6" ht="12.75" customHeight="1">
      <c r="A6" s="117" t="s">
        <v>495</v>
      </c>
      <c r="B6" s="172" t="s">
        <v>24</v>
      </c>
      <c r="C6" s="203">
        <v>53.0</v>
      </c>
      <c r="D6" s="203">
        <v>2021.0</v>
      </c>
      <c r="E6" s="170" t="str">
        <f>IFS('Stephen P'!G6="1 year ext.", "1 of 1 years (ext.)", 'Stephen P'!G6="2 year ext.", "1 of 2 years (ext.)", 'Stephen P'!G6="3 year ext.", "1 of 3 years (ext.)", 'Stephen P'!G6="Releasing","Releasing")</f>
        <v>1 of 2 years (ext.)</v>
      </c>
      <c r="F6" s="112" t="s">
        <v>320</v>
      </c>
      <c r="G6" s="168" t="s">
        <v>328</v>
      </c>
      <c r="H6" s="166">
        <v>53.0</v>
      </c>
      <c r="I6" s="197">
        <f>IFS('Stephen P'!G6="1 year ext.", 'Stephen P'!C6+5, 'Stephen P'!G6="2 year ext.", 'Stephen P'!C6+5, 'Stephen P'!G6="3 year ext.", 'Stephen P'!C6+5, 'Stephen P'!G6="Releasing","0")</f>
        <v>58</v>
      </c>
      <c r="J6" s="110">
        <f>IFS('Stephen P'!G6="1 year ext.", "0", 'Stephen P'!G6="2 year ext.", 'Stephen P'!C6+10, 'Stephen P'!G6="3 year ext.", 'Stephen P'!C6+10, 'Stephen P'!G6="Releasing","0")</f>
        <v>63</v>
      </c>
      <c r="K6" s="110" t="str">
        <f>IFS('Stephen P'!G6="1 year ext.", "0", 'Stephen P'!G6="2 year ext.", "0", 'Stephen P'!G6="3 year ext.", 'Stephen P'!C6+15, 'Stephen P'!G6="Releasing","0")</f>
        <v>0</v>
      </c>
      <c r="L6" s="200"/>
      <c r="M6" s="199" t="s">
        <v>129</v>
      </c>
    </row>
    <row r="7" ht="12.75" customHeight="1">
      <c r="A7" s="117" t="s">
        <v>496</v>
      </c>
      <c r="B7" s="172" t="s">
        <v>24</v>
      </c>
      <c r="C7" s="203">
        <v>33.0</v>
      </c>
      <c r="D7" s="203">
        <v>2021.0</v>
      </c>
      <c r="E7" s="170" t="str">
        <f>IFS('Stephen P'!G7="1 year ext.", "1 of 1 years (ext.)", 'Stephen P'!G7="2 year ext.", "1 of 2 years (ext.)", 'Stephen P'!G7="3 year ext.", "1 of 3 years (ext.)", 'Stephen P'!G7="Releasing","Releasing")</f>
        <v>Releasing</v>
      </c>
      <c r="F7" s="112" t="s">
        <v>320</v>
      </c>
      <c r="G7" s="168" t="s">
        <v>326</v>
      </c>
      <c r="H7" s="166">
        <v>33.0</v>
      </c>
      <c r="I7" s="197" t="str">
        <f>IFS('Stephen P'!G7="1 year ext.", 'Stephen P'!C7+5, 'Stephen P'!G7="2 year ext.", 'Stephen P'!C7+5, 'Stephen P'!G7="3 year ext.", 'Stephen P'!C7+5, 'Stephen P'!G7="Releasing","0")</f>
        <v>0</v>
      </c>
      <c r="J7" s="110" t="str">
        <f>IFS('Stephen P'!G7="1 year ext.", "0", 'Stephen P'!G7="2 year ext.", 'Stephen P'!C7+10, 'Stephen P'!G7="3 year ext.", 'Stephen P'!C7+10, 'Stephen P'!G7="Releasing","0")</f>
        <v>0</v>
      </c>
      <c r="K7" s="110" t="str">
        <f>IFS('Stephen P'!G7="1 year ext.", "0", 'Stephen P'!G7="2 year ext.", "0", 'Stephen P'!G7="3 year ext.", 'Stephen P'!C7+15, 'Stephen P'!G7="Releasing","0")</f>
        <v>0</v>
      </c>
      <c r="L7" s="200"/>
      <c r="M7" s="196" t="s">
        <v>129</v>
      </c>
    </row>
    <row r="8" ht="12.75" customHeight="1">
      <c r="A8" s="117" t="s">
        <v>203</v>
      </c>
      <c r="B8" s="172" t="s">
        <v>24</v>
      </c>
      <c r="C8" s="203">
        <v>8.0</v>
      </c>
      <c r="D8" s="203">
        <v>2022.0</v>
      </c>
      <c r="E8" s="251" t="s">
        <v>343</v>
      </c>
      <c r="F8" s="112" t="s">
        <v>323</v>
      </c>
      <c r="G8" s="168"/>
      <c r="H8" s="166">
        <v>8.0</v>
      </c>
      <c r="I8" s="259">
        <v>8.0</v>
      </c>
      <c r="J8" s="200"/>
      <c r="K8" s="200"/>
      <c r="L8" s="200"/>
      <c r="M8" s="196" t="s">
        <v>371</v>
      </c>
    </row>
    <row r="9" ht="12.75" customHeight="1">
      <c r="A9" s="117" t="s">
        <v>497</v>
      </c>
      <c r="B9" s="172" t="s">
        <v>24</v>
      </c>
      <c r="C9" s="203">
        <v>1.0</v>
      </c>
      <c r="D9" s="203">
        <v>2021.0</v>
      </c>
      <c r="E9" s="170" t="str">
        <f>IFS('Stephen P'!G9="1 year ext.", "1 of 1 years (ext.)", 'Stephen P'!G9="2 year ext.", "1 of 2 years (ext.)", 'Stephen P'!G9="3 year ext.", "1 of 3 years (ext.)", 'Stephen P'!G9="Releasing","Releasing")</f>
        <v>Releasing</v>
      </c>
      <c r="F9" s="112" t="s">
        <v>320</v>
      </c>
      <c r="G9" s="168" t="s">
        <v>326</v>
      </c>
      <c r="H9" s="166">
        <v>1.0</v>
      </c>
      <c r="I9" s="197" t="str">
        <f>IFS('Stephen P'!G9="1 year ext.", 'Stephen P'!C9+5, 'Stephen P'!G9="2 year ext.", 'Stephen P'!C9+5, 'Stephen P'!G9="3 year ext.", 'Stephen P'!C9+5, 'Stephen P'!G9="Releasing","0")</f>
        <v>0</v>
      </c>
      <c r="J9" s="110" t="str">
        <f>IFS('Stephen P'!G9="1 year ext.", "0", 'Stephen P'!G9="2 year ext.", 'Stephen P'!C9+10, 'Stephen P'!G9="3 year ext.", 'Stephen P'!C9+10, 'Stephen P'!G9="Releasing","0")</f>
        <v>0</v>
      </c>
      <c r="K9" s="110" t="str">
        <f>IFS('Stephen P'!G9="1 year ext.", "0", 'Stephen P'!G9="2 year ext.", "0", 'Stephen P'!G9="3 year ext.", 'Stephen P'!C9+15, 'Stephen P'!G9="Releasing","0")</f>
        <v>0</v>
      </c>
      <c r="L9" s="200"/>
      <c r="M9" s="199"/>
    </row>
    <row r="10" ht="12.75" customHeight="1">
      <c r="A10" s="117" t="s">
        <v>498</v>
      </c>
      <c r="B10" s="172" t="s">
        <v>24</v>
      </c>
      <c r="C10" s="203">
        <v>2.0</v>
      </c>
      <c r="D10" s="203">
        <v>2022.0</v>
      </c>
      <c r="E10" s="251" t="s">
        <v>326</v>
      </c>
      <c r="F10" s="112" t="s">
        <v>323</v>
      </c>
      <c r="G10" s="200"/>
      <c r="H10" s="166">
        <v>2.0</v>
      </c>
      <c r="I10" s="259">
        <v>1.0</v>
      </c>
      <c r="J10" s="200"/>
      <c r="K10" s="200"/>
      <c r="L10" s="200"/>
      <c r="M10" s="199" t="s">
        <v>129</v>
      </c>
    </row>
    <row r="11" ht="12.75" customHeight="1">
      <c r="A11" s="117"/>
      <c r="B11" s="172"/>
      <c r="C11" s="172"/>
      <c r="D11" s="172"/>
      <c r="E11" s="172"/>
      <c r="F11" s="200"/>
      <c r="G11" s="200"/>
      <c r="H11" s="170"/>
      <c r="I11" s="200"/>
      <c r="J11" s="200"/>
      <c r="K11" s="200"/>
      <c r="L11" s="200"/>
    </row>
    <row r="12" ht="12.75" customHeight="1">
      <c r="A12" s="117"/>
      <c r="B12" s="172"/>
      <c r="C12" s="172"/>
      <c r="D12" s="172"/>
      <c r="E12" s="172"/>
      <c r="F12" s="172"/>
      <c r="G12" s="172"/>
      <c r="H12" s="170"/>
      <c r="I12" s="172"/>
      <c r="J12" s="172"/>
      <c r="K12" s="172"/>
      <c r="L12" s="172"/>
    </row>
    <row r="13" ht="12.75" customHeight="1">
      <c r="A13" s="123" t="s">
        <v>499</v>
      </c>
      <c r="B13" s="175" t="s">
        <v>63</v>
      </c>
      <c r="C13" s="205">
        <v>17.0</v>
      </c>
      <c r="D13" s="205">
        <v>2021.0</v>
      </c>
      <c r="E13" s="170" t="str">
        <f>IFS('Stephen P'!G13="1 year ext.", "1 of 1 years (ext.)", 'Stephen P'!G13="2 year ext.", "1 of 2 years (ext.)", 'Stephen P'!G13="3 year ext.", "1 of 3 years (ext.)", 'Stephen P'!G13="Releasing","Releasing")</f>
        <v>1 of 2 years (ext.)</v>
      </c>
      <c r="F13" s="112" t="s">
        <v>320</v>
      </c>
      <c r="G13" s="168" t="s">
        <v>328</v>
      </c>
      <c r="H13" s="166">
        <v>17.0</v>
      </c>
      <c r="I13" s="197">
        <f>IFS('Stephen P'!G13="1 year ext.", 'Stephen P'!C13+5, 'Stephen P'!G13="2 year ext.", 'Stephen P'!C13+5, 'Stephen P'!G13="3 year ext.", 'Stephen P'!C13+5, 'Stephen P'!G13="Releasing","0")</f>
        <v>22</v>
      </c>
      <c r="J13" s="110">
        <f>IFS('Stephen P'!G13="1 year ext.", "0", 'Stephen P'!G13="2 year ext.", 'Stephen P'!C13+10, 'Stephen P'!G13="3 year ext.", 'Stephen P'!C13+10, 'Stephen P'!G13="Releasing","0")</f>
        <v>27</v>
      </c>
      <c r="K13" s="110" t="str">
        <f>IFS('Stephen P'!G13="1 year ext.", "0", 'Stephen P'!G13="2 year ext.", "0", 'Stephen P'!G13="3 year ext.", 'Stephen P'!C13+15, 'Stephen P'!G13="Releasing","0")</f>
        <v>0</v>
      </c>
      <c r="L13" s="176"/>
    </row>
    <row r="14" ht="12.75" customHeight="1">
      <c r="A14" s="125" t="s">
        <v>500</v>
      </c>
      <c r="B14" s="176" t="s">
        <v>63</v>
      </c>
      <c r="C14" s="207">
        <v>19.0</v>
      </c>
      <c r="D14" s="205">
        <v>2021.0</v>
      </c>
      <c r="E14" s="170" t="str">
        <f>IFS('Stephen P'!G14="1 year ext.", "1 of 1 years (ext.)", 'Stephen P'!G14="2 year ext.", "1 of 2 years (ext.)", 'Stephen P'!G14="3 year ext.", "1 of 3 years (ext.)", 'Stephen P'!G14="Releasing","Releasing")</f>
        <v>Releasing</v>
      </c>
      <c r="F14" s="112" t="s">
        <v>320</v>
      </c>
      <c r="G14" s="168" t="s">
        <v>326</v>
      </c>
      <c r="H14" s="166">
        <v>19.0</v>
      </c>
      <c r="I14" s="197" t="str">
        <f>IFS('Stephen P'!G14="1 year ext.", 'Stephen P'!C14+5, 'Stephen P'!G14="2 year ext.", 'Stephen P'!C14+5, 'Stephen P'!G14="3 year ext.", 'Stephen P'!C14+5, 'Stephen P'!G14="Releasing","0")</f>
        <v>0</v>
      </c>
      <c r="J14" s="110" t="str">
        <f>IFS('Stephen P'!G14="1 year ext.", "0", 'Stephen P'!G14="2 year ext.", 'Stephen P'!C14+10, 'Stephen P'!G14="3 year ext.", 'Stephen P'!C14+10, 'Stephen P'!G14="Releasing","0")</f>
        <v>0</v>
      </c>
      <c r="K14" s="110" t="str">
        <f>IFS('Stephen P'!G14="1 year ext.", "0", 'Stephen P'!G14="2 year ext.", "0", 'Stephen P'!G14="3 year ext.", 'Stephen P'!C14+15, 'Stephen P'!G14="Releasing","0")</f>
        <v>0</v>
      </c>
      <c r="L14" s="176"/>
      <c r="M14" s="199" t="s">
        <v>129</v>
      </c>
    </row>
    <row r="15" ht="12.75" customHeight="1">
      <c r="A15" s="125" t="s">
        <v>501</v>
      </c>
      <c r="B15" s="176" t="s">
        <v>63</v>
      </c>
      <c r="C15" s="207">
        <v>13.0</v>
      </c>
      <c r="D15" s="205">
        <v>2021.0</v>
      </c>
      <c r="E15" s="170" t="str">
        <f>IFS('Stephen P'!G15="1 year ext.", "1 of 1 years (ext.)", 'Stephen P'!G15="2 year ext.", "1 of 2 years (ext.)", 'Stephen P'!G15="3 year ext.", "1 of 3 years (ext.)", 'Stephen P'!G15="Releasing","Releasing")</f>
        <v>1 of 3 years (ext.)</v>
      </c>
      <c r="F15" s="112" t="s">
        <v>320</v>
      </c>
      <c r="G15" s="168" t="s">
        <v>331</v>
      </c>
      <c r="H15" s="166">
        <v>13.0</v>
      </c>
      <c r="I15" s="197">
        <f>IFS('Stephen P'!G15="1 year ext.", 'Stephen P'!C15+5, 'Stephen P'!G15="2 year ext.", 'Stephen P'!C15+5, 'Stephen P'!G15="3 year ext.", 'Stephen P'!C15+5, 'Stephen P'!G15="Releasing","0")</f>
        <v>18</v>
      </c>
      <c r="J15" s="110">
        <f>IFS('Stephen P'!G15="1 year ext.", "0", 'Stephen P'!G15="2 year ext.", 'Stephen P'!C15+10, 'Stephen P'!G15="3 year ext.", 'Stephen P'!C15+10, 'Stephen P'!G15="Releasing","0")</f>
        <v>23</v>
      </c>
      <c r="K15" s="110">
        <f>IFS('Stephen P'!G15="1 year ext.", "0", 'Stephen P'!G15="2 year ext.", "0", 'Stephen P'!G15="3 year ext.", 'Stephen P'!C15+15, 'Stephen P'!G15="Releasing","0")</f>
        <v>28</v>
      </c>
      <c r="L15" s="176"/>
      <c r="M15" s="199"/>
    </row>
    <row r="16" ht="12.75" customHeight="1">
      <c r="A16" s="125" t="s">
        <v>502</v>
      </c>
      <c r="B16" s="176" t="s">
        <v>63</v>
      </c>
      <c r="C16" s="207">
        <v>1.0</v>
      </c>
      <c r="D16" s="205">
        <v>2021.0</v>
      </c>
      <c r="E16" s="170" t="str">
        <f>IFS('Stephen P'!G16="1 year ext.", "1 of 1 years (ext.)", 'Stephen P'!G16="2 year ext.", "1 of 2 years (ext.)", 'Stephen P'!G16="3 year ext.", "1 of 3 years (ext.)", 'Stephen P'!G16="Releasing","Releasing")</f>
        <v>1 of 1 years (ext.)</v>
      </c>
      <c r="F16" s="112" t="s">
        <v>320</v>
      </c>
      <c r="G16" s="168" t="s">
        <v>321</v>
      </c>
      <c r="H16" s="166">
        <v>1.0</v>
      </c>
      <c r="I16" s="197">
        <f>IFS('Stephen P'!G16="1 year ext.", 'Stephen P'!C16+5, 'Stephen P'!G16="2 year ext.", 'Stephen P'!C16+5, 'Stephen P'!G16="3 year ext.", 'Stephen P'!C16+5, 'Stephen P'!G16="Releasing","0")</f>
        <v>6</v>
      </c>
      <c r="J16" s="110" t="str">
        <f>IFS('Stephen P'!G16="1 year ext.", "0", 'Stephen P'!G16="2 year ext.", 'Stephen P'!C16+10, 'Stephen P'!G16="3 year ext.", 'Stephen P'!C16+10, 'Stephen P'!G16="Releasing","0")</f>
        <v>0</v>
      </c>
      <c r="K16" s="110" t="str">
        <f>IFS('Stephen P'!G16="1 year ext.", "0", 'Stephen P'!G16="2 year ext.", "0", 'Stephen P'!G16="3 year ext.", 'Stephen P'!C16+15, 'Stephen P'!G16="Releasing","0")</f>
        <v>0</v>
      </c>
      <c r="L16" s="176"/>
      <c r="M16" s="199"/>
    </row>
    <row r="17" ht="12.75" customHeight="1">
      <c r="A17" s="125" t="s">
        <v>503</v>
      </c>
      <c r="B17" s="176" t="s">
        <v>63</v>
      </c>
      <c r="C17" s="207">
        <v>1.0</v>
      </c>
      <c r="D17" s="205">
        <v>2021.0</v>
      </c>
      <c r="E17" s="170" t="str">
        <f>IFS('Stephen P'!G17="1 year ext.", "1 of 1 years (ext.)", 'Stephen P'!G17="2 year ext.", "1 of 2 years (ext.)", 'Stephen P'!G17="3 year ext.", "1 of 3 years (ext.)", 'Stephen P'!G17="Releasing","Releasing")</f>
        <v>Releasing</v>
      </c>
      <c r="F17" s="112" t="s">
        <v>320</v>
      </c>
      <c r="G17" s="168" t="s">
        <v>326</v>
      </c>
      <c r="H17" s="166">
        <v>1.0</v>
      </c>
      <c r="I17" s="197" t="str">
        <f>IFS('Stephen P'!G17="1 year ext.", 'Stephen P'!C17+5, 'Stephen P'!G17="2 year ext.", 'Stephen P'!C17+5, 'Stephen P'!G17="3 year ext.", 'Stephen P'!C17+5, 'Stephen P'!G17="Releasing","0")</f>
        <v>0</v>
      </c>
      <c r="J17" s="110" t="str">
        <f>IFS('Stephen P'!G17="1 year ext.", "0", 'Stephen P'!G17="2 year ext.", 'Stephen P'!C17+10, 'Stephen P'!G17="3 year ext.", 'Stephen P'!C17+10, 'Stephen P'!G17="Releasing","0")</f>
        <v>0</v>
      </c>
      <c r="K17" s="110" t="str">
        <f>IFS('Stephen P'!G17="1 year ext.", "0", 'Stephen P'!G17="2 year ext.", "0", 'Stephen P'!G17="3 year ext.", 'Stephen P'!C17+15, 'Stephen P'!G17="Releasing","0")</f>
        <v>0</v>
      </c>
      <c r="L17" s="176"/>
      <c r="M17" s="196" t="s">
        <v>129</v>
      </c>
    </row>
    <row r="18" ht="12.75" customHeight="1">
      <c r="A18" s="125" t="s">
        <v>504</v>
      </c>
      <c r="B18" s="176" t="s">
        <v>63</v>
      </c>
      <c r="C18" s="207">
        <v>1.0</v>
      </c>
      <c r="D18" s="205">
        <v>2021.0</v>
      </c>
      <c r="E18" s="170" t="str">
        <f>IFS('Stephen P'!G18="1 year ext.", "1 of 1 years (ext.)", 'Stephen P'!G18="2 year ext.", "1 of 2 years (ext.)", 'Stephen P'!G18="3 year ext.", "1 of 3 years (ext.)", 'Stephen P'!G18="Releasing","Releasing")</f>
        <v>Releasing</v>
      </c>
      <c r="F18" s="112" t="s">
        <v>320</v>
      </c>
      <c r="G18" s="168" t="s">
        <v>326</v>
      </c>
      <c r="H18" s="166">
        <v>1.0</v>
      </c>
      <c r="I18" s="197" t="str">
        <f>IFS('Stephen P'!G18="1 year ext.", 'Stephen P'!C18+5, 'Stephen P'!G18="2 year ext.", 'Stephen P'!C18+5, 'Stephen P'!G18="3 year ext.", 'Stephen P'!C18+5, 'Stephen P'!G18="Releasing","0")</f>
        <v>0</v>
      </c>
      <c r="J18" s="110" t="str">
        <f>IFS('Stephen P'!G18="1 year ext.", "0", 'Stephen P'!G18="2 year ext.", 'Stephen P'!C18+10, 'Stephen P'!G18="3 year ext.", 'Stephen P'!C18+10, 'Stephen P'!G18="Releasing","0")</f>
        <v>0</v>
      </c>
      <c r="K18" s="110" t="str">
        <f>IFS('Stephen P'!G18="1 year ext.", "0", 'Stephen P'!G18="2 year ext.", "0", 'Stephen P'!G18="3 year ext.", 'Stephen P'!C18+15, 'Stephen P'!G18="Releasing","0")</f>
        <v>0</v>
      </c>
      <c r="L18" s="176"/>
      <c r="M18" s="196"/>
    </row>
    <row r="19" ht="12.75" customHeight="1">
      <c r="A19" s="125" t="s">
        <v>505</v>
      </c>
      <c r="B19" s="176" t="s">
        <v>63</v>
      </c>
      <c r="C19" s="207">
        <v>11.0</v>
      </c>
      <c r="D19" s="205">
        <v>2022.0</v>
      </c>
      <c r="E19" s="251" t="s">
        <v>343</v>
      </c>
      <c r="F19" s="112" t="s">
        <v>323</v>
      </c>
      <c r="G19" s="176"/>
      <c r="H19" s="166">
        <v>11.0</v>
      </c>
      <c r="I19" s="260">
        <v>11.0</v>
      </c>
      <c r="J19" s="260">
        <v>16.0</v>
      </c>
      <c r="K19" s="176"/>
      <c r="L19" s="176"/>
      <c r="M19" s="196"/>
    </row>
    <row r="20" ht="12.75" customHeight="1">
      <c r="A20" s="125" t="s">
        <v>506</v>
      </c>
      <c r="B20" s="176" t="s">
        <v>63</v>
      </c>
      <c r="C20" s="207">
        <v>13.0</v>
      </c>
      <c r="D20" s="205">
        <v>2022.0</v>
      </c>
      <c r="E20" s="251" t="s">
        <v>343</v>
      </c>
      <c r="F20" s="112" t="s">
        <v>323</v>
      </c>
      <c r="G20" s="176"/>
      <c r="H20" s="166">
        <v>13.0</v>
      </c>
      <c r="I20" s="260">
        <v>13.0</v>
      </c>
      <c r="J20" s="260">
        <v>18.0</v>
      </c>
      <c r="K20" s="260">
        <v>23.0</v>
      </c>
      <c r="L20" s="176"/>
      <c r="M20" s="196"/>
    </row>
    <row r="21" ht="12.75" customHeight="1">
      <c r="A21" s="125" t="s">
        <v>507</v>
      </c>
      <c r="B21" s="176" t="s">
        <v>63</v>
      </c>
      <c r="C21" s="207">
        <v>1.0</v>
      </c>
      <c r="D21" s="205">
        <v>2022.0</v>
      </c>
      <c r="E21" s="251" t="s">
        <v>343</v>
      </c>
      <c r="F21" s="112" t="s">
        <v>323</v>
      </c>
      <c r="G21" s="176"/>
      <c r="H21" s="166">
        <v>1.0</v>
      </c>
      <c r="I21" s="260">
        <v>1.0</v>
      </c>
      <c r="J21" s="261"/>
      <c r="K21" s="176"/>
      <c r="L21" s="176"/>
      <c r="M21" s="196"/>
    </row>
    <row r="22" ht="12.75" customHeight="1">
      <c r="A22" s="125"/>
      <c r="B22" s="176"/>
      <c r="C22" s="176"/>
      <c r="D22" s="175"/>
      <c r="E22" s="172"/>
      <c r="F22" s="176"/>
      <c r="G22" s="176"/>
      <c r="H22" s="170"/>
      <c r="I22" s="176"/>
      <c r="J22" s="176"/>
      <c r="K22" s="176"/>
      <c r="L22" s="176"/>
      <c r="M22" s="196"/>
    </row>
    <row r="23" ht="12.75" customHeight="1">
      <c r="A23" s="131" t="s">
        <v>508</v>
      </c>
      <c r="B23" s="177" t="s">
        <v>111</v>
      </c>
      <c r="C23" s="210">
        <v>15.0</v>
      </c>
      <c r="D23" s="210">
        <v>2021.0</v>
      </c>
      <c r="E23" s="170" t="str">
        <f>IFS('Stephen P'!G23="1 year ext.", "1 of 1 years (ext.)", 'Stephen P'!G23="2 year ext.", "1 of 2 years (ext.)", 'Stephen P'!G23="3 year ext.", "1 of 3 years (ext.)", 'Stephen P'!G23="Releasing","Releasing")</f>
        <v>1 of 1 years (ext.)</v>
      </c>
      <c r="F23" s="112" t="s">
        <v>320</v>
      </c>
      <c r="G23" s="168" t="s">
        <v>321</v>
      </c>
      <c r="H23" s="166">
        <v>15.0</v>
      </c>
      <c r="I23" s="197">
        <f>IFS('Stephen P'!G23="1 year ext.", 'Stephen P'!C23+5, 'Stephen P'!G23="2 year ext.", 'Stephen P'!C23+5, 'Stephen P'!G23="3 year ext.", 'Stephen P'!C23+5, 'Stephen P'!G23="Releasing","0")</f>
        <v>20</v>
      </c>
      <c r="J23" s="110" t="str">
        <f>IFS('Stephen P'!G23="1 year ext.", "0", 'Stephen P'!G23="2 year ext.", 'Stephen P'!C23+10, 'Stephen P'!G23="3 year ext.", 'Stephen P'!C23+10, 'Stephen P'!G23="Releasing","0")</f>
        <v>0</v>
      </c>
      <c r="K23" s="110" t="str">
        <f>IFS('Stephen P'!G23="1 year ext.", "0", 'Stephen P'!G23="2 year ext.", "0", 'Stephen P'!G23="3 year ext.", 'Stephen P'!C23+15, 'Stephen P'!G23="Releasing","0")</f>
        <v>0</v>
      </c>
      <c r="L23" s="177"/>
      <c r="M23" s="196" t="s">
        <v>129</v>
      </c>
    </row>
    <row r="24" ht="12.75" customHeight="1">
      <c r="A24" s="131" t="s">
        <v>509</v>
      </c>
      <c r="B24" s="177" t="s">
        <v>111</v>
      </c>
      <c r="C24" s="210">
        <v>1.0</v>
      </c>
      <c r="D24" s="210">
        <v>2022.0</v>
      </c>
      <c r="E24" s="251" t="s">
        <v>343</v>
      </c>
      <c r="F24" s="112" t="s">
        <v>323</v>
      </c>
      <c r="G24" s="177"/>
      <c r="H24" s="166">
        <v>1.0</v>
      </c>
      <c r="I24" s="262">
        <v>1.0</v>
      </c>
      <c r="J24" s="177"/>
      <c r="K24" s="177"/>
      <c r="L24" s="177"/>
      <c r="M24" s="196" t="s">
        <v>129</v>
      </c>
    </row>
    <row r="25" ht="12.75" customHeight="1">
      <c r="A25" s="133"/>
      <c r="B25" s="179"/>
      <c r="C25" s="179"/>
      <c r="D25" s="179"/>
      <c r="E25" s="179"/>
      <c r="F25" s="179"/>
      <c r="G25" s="179"/>
      <c r="H25" s="170"/>
      <c r="I25" s="179"/>
      <c r="J25" s="179"/>
      <c r="K25" s="179"/>
      <c r="L25" s="179"/>
      <c r="M25" s="196"/>
    </row>
    <row r="26" ht="12.75" customHeight="1">
      <c r="A26" s="133"/>
      <c r="B26" s="179" t="s">
        <v>124</v>
      </c>
      <c r="C26" s="179"/>
      <c r="D26" s="234"/>
      <c r="E26" s="170"/>
      <c r="F26" s="112"/>
      <c r="G26" s="168"/>
      <c r="H26" s="170"/>
      <c r="I26" s="197"/>
      <c r="J26" s="110"/>
      <c r="K26" s="179"/>
      <c r="L26" s="179"/>
      <c r="M26" s="196"/>
    </row>
    <row r="27" ht="12.75" customHeight="1">
      <c r="A27" s="133"/>
      <c r="B27" s="179"/>
      <c r="C27" s="179"/>
      <c r="D27" s="179"/>
      <c r="E27" s="172"/>
      <c r="F27" s="179"/>
      <c r="G27" s="179"/>
      <c r="H27" s="170"/>
      <c r="I27" s="179"/>
      <c r="J27" s="179"/>
      <c r="K27" s="179"/>
      <c r="L27" s="179"/>
      <c r="M27" s="196" t="s">
        <v>371</v>
      </c>
    </row>
    <row r="28" ht="12.75" customHeight="1">
      <c r="A28" s="135" t="s">
        <v>264</v>
      </c>
      <c r="B28" s="180" t="s">
        <v>133</v>
      </c>
      <c r="C28" s="214">
        <v>1.0</v>
      </c>
      <c r="D28" s="214">
        <v>2021.0</v>
      </c>
      <c r="E28" s="170" t="str">
        <f>IFS('Stephen P'!G28="1 year ext.", "1 of 1 years (ext.)", 'Stephen P'!G28="2 year ext.", "1 of 2 years (ext.)", 'Stephen P'!G28="3 year ext.", "1 of 3 years (ext.)", 'Stephen P'!G28="Releasing","Releasing")</f>
        <v>Releasing</v>
      </c>
      <c r="F28" s="112" t="s">
        <v>320</v>
      </c>
      <c r="G28" s="168" t="s">
        <v>326</v>
      </c>
      <c r="H28" s="166">
        <v>1.0</v>
      </c>
      <c r="I28" s="197" t="str">
        <f>IFS('Stephen P'!G28="1 year ext.", 'Stephen P'!C28+5, 'Stephen P'!G28="2 year ext.", 'Stephen P'!C28+5, 'Stephen P'!G28="3 year ext.", 'Stephen P'!C28+5, 'Stephen P'!G28="Releasing","0")</f>
        <v>0</v>
      </c>
      <c r="J28" s="110" t="str">
        <f>IFS('Stephen P'!G28="1 year ext.", "0", 'Stephen P'!G28="2 year ext.", 'Stephen P'!C28+10, 'Stephen P'!G28="3 year ext.", 'Stephen P'!C28+10, 'Stephen P'!G28="Releasing","0")</f>
        <v>0</v>
      </c>
      <c r="K28" s="110" t="str">
        <f>IFS('Stephen P'!G28="1 year ext.", "0", 'Stephen P'!G28="2 year ext.", "0", 'Stephen P'!G28="3 year ext.", 'Stephen P'!C28+15, 'Stephen P'!G28="Releasing","0")</f>
        <v>0</v>
      </c>
      <c r="L28" s="180"/>
      <c r="M28" s="196" t="s">
        <v>129</v>
      </c>
    </row>
    <row r="29" ht="12.75" customHeight="1">
      <c r="A29" s="135"/>
      <c r="B29" s="180"/>
      <c r="C29" s="180"/>
      <c r="D29" s="180"/>
      <c r="E29" s="172"/>
      <c r="F29" s="180"/>
      <c r="G29" s="180"/>
      <c r="H29" s="170"/>
      <c r="I29" s="180"/>
      <c r="J29" s="180"/>
      <c r="K29" s="180"/>
      <c r="L29" s="180"/>
      <c r="M29" s="196"/>
    </row>
    <row r="30" ht="12.75" customHeight="1">
      <c r="A30" s="216"/>
      <c r="B30" s="170"/>
      <c r="C30" s="170"/>
      <c r="D30" s="170"/>
      <c r="E30" s="172"/>
      <c r="F30" s="170"/>
      <c r="G30" s="170"/>
      <c r="H30" s="170"/>
      <c r="I30" s="170"/>
      <c r="J30" s="170"/>
      <c r="K30" s="170"/>
      <c r="L30" s="170"/>
      <c r="M30" s="199" t="s">
        <v>129</v>
      </c>
    </row>
    <row r="31" ht="12.75" customHeight="1">
      <c r="A31" s="140" t="s">
        <v>341</v>
      </c>
      <c r="B31" s="141"/>
      <c r="C31" s="141"/>
      <c r="D31" s="141"/>
      <c r="E31" s="141"/>
      <c r="F31" s="141"/>
      <c r="G31" s="141"/>
      <c r="H31" s="238"/>
      <c r="I31" s="141"/>
      <c r="J31" s="141"/>
      <c r="K31" s="141"/>
      <c r="L31" s="141"/>
      <c r="M31" s="196" t="s">
        <v>129</v>
      </c>
    </row>
    <row r="32" ht="12.75" customHeight="1">
      <c r="A32" s="117" t="s">
        <v>498</v>
      </c>
      <c r="B32" s="147"/>
      <c r="C32" s="148"/>
      <c r="D32" s="148"/>
      <c r="E32" s="248"/>
      <c r="F32" s="141"/>
      <c r="G32" s="141"/>
      <c r="H32" s="263">
        <v>1.0</v>
      </c>
      <c r="I32" s="141"/>
      <c r="J32" s="141"/>
      <c r="K32" s="141"/>
      <c r="L32" s="141"/>
      <c r="M32" s="196"/>
    </row>
    <row r="33" ht="12.75" customHeight="1">
      <c r="A33" s="146" t="s">
        <v>267</v>
      </c>
      <c r="B33" s="147"/>
      <c r="C33" s="148"/>
      <c r="D33" s="148">
        <v>2021.0</v>
      </c>
      <c r="E33" s="248" t="s">
        <v>510</v>
      </c>
      <c r="F33" s="141"/>
      <c r="G33" s="141"/>
      <c r="H33" s="239">
        <v>5.0</v>
      </c>
      <c r="I33" s="141"/>
      <c r="J33" s="141"/>
      <c r="K33" s="141"/>
      <c r="L33" s="141"/>
      <c r="M33" s="196" t="s">
        <v>129</v>
      </c>
    </row>
    <row r="34" ht="12.75" customHeight="1">
      <c r="A34" s="146" t="s">
        <v>511</v>
      </c>
      <c r="B34" s="147"/>
      <c r="C34" s="148"/>
      <c r="D34" s="148">
        <v>2021.0</v>
      </c>
      <c r="E34" s="248" t="s">
        <v>510</v>
      </c>
      <c r="F34" s="141"/>
      <c r="G34" s="141"/>
      <c r="H34" s="239">
        <v>2.0</v>
      </c>
      <c r="I34" s="141"/>
      <c r="J34" s="141"/>
      <c r="K34" s="141"/>
      <c r="L34" s="141"/>
      <c r="M34" s="196" t="s">
        <v>129</v>
      </c>
    </row>
    <row r="35" ht="12.75" customHeight="1">
      <c r="A35" s="146" t="s">
        <v>512</v>
      </c>
      <c r="B35" s="147"/>
      <c r="C35" s="148"/>
      <c r="D35" s="148">
        <v>2021.0</v>
      </c>
      <c r="E35" s="248" t="s">
        <v>510</v>
      </c>
      <c r="F35" s="141"/>
      <c r="G35" s="141"/>
      <c r="H35" s="239">
        <v>1.0</v>
      </c>
      <c r="I35" s="141"/>
      <c r="J35" s="141"/>
      <c r="K35" s="141"/>
      <c r="L35" s="141"/>
      <c r="M35" s="196" t="s">
        <v>129</v>
      </c>
    </row>
    <row r="36" ht="12.75" customHeight="1">
      <c r="A36" s="146" t="s">
        <v>275</v>
      </c>
      <c r="B36" s="147"/>
      <c r="C36" s="148"/>
      <c r="D36" s="148">
        <v>2021.0</v>
      </c>
      <c r="E36" s="248" t="s">
        <v>510</v>
      </c>
      <c r="F36" s="141"/>
      <c r="G36" s="141"/>
      <c r="H36" s="239">
        <v>1.0</v>
      </c>
      <c r="I36" s="141"/>
      <c r="J36" s="141"/>
      <c r="K36" s="141"/>
      <c r="L36" s="141"/>
    </row>
    <row r="37" ht="12.75" customHeight="1">
      <c r="A37" s="146" t="s">
        <v>513</v>
      </c>
      <c r="B37" s="147"/>
      <c r="C37" s="148"/>
      <c r="D37" s="148">
        <v>2021.0</v>
      </c>
      <c r="E37" s="248" t="s">
        <v>510</v>
      </c>
      <c r="F37" s="141"/>
      <c r="G37" s="141"/>
      <c r="H37" s="239">
        <v>1.0</v>
      </c>
      <c r="I37" s="141"/>
      <c r="J37" s="141"/>
      <c r="K37" s="141"/>
      <c r="L37" s="141"/>
    </row>
    <row r="38" ht="12.75" customHeight="1">
      <c r="A38" s="146" t="s">
        <v>278</v>
      </c>
      <c r="B38" s="147"/>
      <c r="C38" s="148"/>
      <c r="D38" s="148">
        <v>2021.0</v>
      </c>
      <c r="E38" s="248" t="s">
        <v>510</v>
      </c>
      <c r="F38" s="141"/>
      <c r="G38" s="141"/>
      <c r="H38" s="239">
        <v>1.0</v>
      </c>
      <c r="I38" s="141"/>
      <c r="J38" s="141"/>
      <c r="K38" s="141"/>
      <c r="L38" s="141"/>
    </row>
    <row r="39" ht="12.75" customHeight="1">
      <c r="A39" s="146" t="s">
        <v>279</v>
      </c>
      <c r="B39" s="147"/>
      <c r="C39" s="148"/>
      <c r="D39" s="148">
        <v>2021.0</v>
      </c>
      <c r="E39" s="248" t="s">
        <v>510</v>
      </c>
      <c r="F39" s="141"/>
      <c r="G39" s="141"/>
      <c r="H39" s="239">
        <v>1.0</v>
      </c>
      <c r="I39" s="141"/>
      <c r="J39" s="141"/>
      <c r="K39" s="141"/>
      <c r="L39" s="141"/>
    </row>
    <row r="40" ht="12.75" customHeight="1">
      <c r="A40" s="146" t="s">
        <v>514</v>
      </c>
      <c r="B40" s="147"/>
      <c r="C40" s="148"/>
      <c r="D40" s="148">
        <v>2021.0</v>
      </c>
      <c r="E40" s="248" t="s">
        <v>510</v>
      </c>
      <c r="F40" s="141"/>
      <c r="G40" s="141"/>
      <c r="H40" s="239">
        <v>1.0</v>
      </c>
      <c r="I40" s="141"/>
      <c r="J40" s="141"/>
      <c r="K40" s="141"/>
      <c r="L40" s="141"/>
    </row>
    <row r="41" ht="12.75" customHeight="1">
      <c r="A41" s="146" t="s">
        <v>515</v>
      </c>
      <c r="B41" s="147"/>
      <c r="C41" s="148"/>
      <c r="D41" s="148">
        <v>2021.0</v>
      </c>
      <c r="E41" s="248" t="s">
        <v>510</v>
      </c>
      <c r="F41" s="141"/>
      <c r="G41" s="141"/>
      <c r="H41" s="239">
        <v>1.0</v>
      </c>
      <c r="I41" s="141"/>
      <c r="J41" s="141"/>
      <c r="K41" s="141"/>
      <c r="L41" s="141"/>
    </row>
    <row r="42" ht="12.75" customHeight="1">
      <c r="A42" s="146" t="s">
        <v>281</v>
      </c>
      <c r="B42" s="147"/>
      <c r="C42" s="148"/>
      <c r="D42" s="148">
        <v>2021.0</v>
      </c>
      <c r="E42" s="248" t="s">
        <v>510</v>
      </c>
      <c r="F42" s="141"/>
      <c r="G42" s="141"/>
      <c r="H42" s="239">
        <v>1.0</v>
      </c>
      <c r="I42" s="141"/>
      <c r="J42" s="141"/>
      <c r="K42" s="141"/>
      <c r="L42" s="141"/>
    </row>
    <row r="43" ht="12.75" customHeight="1">
      <c r="A43" s="185"/>
      <c r="B43" s="98"/>
      <c r="C43" s="186"/>
      <c r="D43" s="98"/>
      <c r="E43" s="98"/>
      <c r="F43" s="98"/>
      <c r="G43" s="98"/>
      <c r="H43" s="98"/>
      <c r="I43" s="98"/>
      <c r="J43" s="98"/>
      <c r="K43" s="98"/>
      <c r="L43" s="98"/>
    </row>
    <row r="44" ht="12.75" customHeight="1">
      <c r="A44" s="252" t="s">
        <v>349</v>
      </c>
      <c r="B44" s="154"/>
      <c r="C44" s="253">
        <f>SUM('Stephen P'!C3:C42)</f>
        <v>214</v>
      </c>
      <c r="D44" s="256"/>
      <c r="E44" s="256"/>
      <c r="F44" s="156"/>
      <c r="G44" s="156"/>
      <c r="H44" s="253">
        <f>SUM('Stephen P'!H3:H42)</f>
        <v>230</v>
      </c>
      <c r="I44" s="253">
        <f>SUM('Stephen P'!I3:I42)</f>
        <v>159</v>
      </c>
      <c r="J44" s="253">
        <f>SUM('Stephen P'!J3:J42)</f>
        <v>147</v>
      </c>
      <c r="K44" s="253">
        <f>SUM('Stephen P'!K3:K42)</f>
        <v>51</v>
      </c>
      <c r="L44" s="156"/>
    </row>
    <row r="45" ht="12.75" customHeight="1">
      <c r="A45" s="254" t="s">
        <v>350</v>
      </c>
      <c r="B45" s="255"/>
      <c r="C45" s="255">
        <f>(250-'Stephen P'!C44)</f>
        <v>36</v>
      </c>
      <c r="D45" s="98"/>
      <c r="E45" s="98"/>
      <c r="F45" s="98"/>
      <c r="G45" s="98"/>
      <c r="H45" s="255">
        <f>(250-'Stephen P'!H44)</f>
        <v>20</v>
      </c>
      <c r="I45" s="255">
        <f>(250-'Stephen P'!I44)</f>
        <v>91</v>
      </c>
      <c r="J45" s="255">
        <f>(250-'Stephen P'!J44)</f>
        <v>103</v>
      </c>
      <c r="K45" s="255">
        <f>(250-'Stephen P'!K44)</f>
        <v>199</v>
      </c>
      <c r="L45" s="98"/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dataValidations>
    <dataValidation type="list" allowBlank="1" showErrorMessage="1" sqref="G3 G6:G7 G9 G13:G18 G23 G28">
      <formula1>"1 year ext.,2 year ext.,3 year ext.,Releasing"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7" width="19.86"/>
    <col customWidth="1" min="8" max="12" width="16.71"/>
    <col customWidth="1" min="13" max="32" width="8.86"/>
  </cols>
  <sheetData>
    <row r="1" ht="12.75" customHeight="1">
      <c r="A1" s="97" t="s">
        <v>182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ht="12.75" customHeight="1">
      <c r="A2" s="100" t="s">
        <v>7</v>
      </c>
      <c r="B2" s="101" t="s">
        <v>308</v>
      </c>
      <c r="C2" s="101" t="s">
        <v>351</v>
      </c>
      <c r="D2" s="101" t="s">
        <v>310</v>
      </c>
      <c r="E2" s="101" t="s">
        <v>352</v>
      </c>
      <c r="F2" s="163" t="s">
        <v>312</v>
      </c>
      <c r="G2" s="164" t="s">
        <v>313</v>
      </c>
      <c r="H2" s="164" t="s">
        <v>314</v>
      </c>
      <c r="I2" s="190" t="s">
        <v>315</v>
      </c>
      <c r="J2" s="190" t="s">
        <v>316</v>
      </c>
      <c r="K2" s="190" t="s">
        <v>317</v>
      </c>
      <c r="L2" s="101" t="s">
        <v>318</v>
      </c>
    </row>
    <row r="3" ht="12.75" customHeight="1">
      <c r="A3" s="103" t="s">
        <v>516</v>
      </c>
      <c r="B3" s="165" t="s">
        <v>9</v>
      </c>
      <c r="C3" s="192">
        <v>14.0</v>
      </c>
      <c r="D3" s="192">
        <v>2021.0</v>
      </c>
      <c r="E3" s="170" t="str">
        <f>IFS('Nick F'!G3="1 year ext.", "1 of 1 years (ext.)", 'Nick F'!G3="2 year ext.", "1 of 2 years (ext.)", 'Nick F'!G3="3 year ext.", "1 of 3 years (ext.)", 'Nick F'!G3="Releasing","Releasing")</f>
        <v>Releasing</v>
      </c>
      <c r="F3" s="112" t="s">
        <v>320</v>
      </c>
      <c r="G3" s="168" t="s">
        <v>326</v>
      </c>
      <c r="H3" s="105">
        <v>14.0</v>
      </c>
      <c r="I3" s="197" t="str">
        <f>IFS('Nick F'!G3="1 year ext.", 'Nick F'!C3+5, 'Nick F'!G3="2 year ext.", 'Nick F'!C3+5, 'Nick F'!G3="3 year ext.", 'Nick F'!C3+5, 'Nick F'!G3="Releasing","0")</f>
        <v>0</v>
      </c>
      <c r="J3" s="110" t="str">
        <f>IFS('Nick F'!G3="1 year ext.", "0", 'Nick F'!G3="2 year ext.", 'Nick F'!C3+10, 'Nick F'!G3="3 year ext.", 'Nick F'!C3+10, 'Nick F'!G3="Releasing","0")</f>
        <v>0</v>
      </c>
      <c r="K3" s="110" t="str">
        <f>IFS('Nick F'!G3="1 year ext.", "0", 'Nick F'!G3="2 year ext.", "0", 'Nick F'!G3="3 year ext.", 'Nick F'!C3+15, 'Nick F'!G3="Releasing","0")</f>
        <v>0</v>
      </c>
      <c r="L3" s="165"/>
      <c r="M3" s="196" t="s">
        <v>129</v>
      </c>
    </row>
    <row r="4" ht="12.75" customHeight="1">
      <c r="A4" s="103" t="s">
        <v>517</v>
      </c>
      <c r="B4" s="165" t="s">
        <v>9</v>
      </c>
      <c r="C4" s="192">
        <v>4.0</v>
      </c>
      <c r="D4" s="192">
        <v>2021.0</v>
      </c>
      <c r="E4" s="170" t="str">
        <f>IFS('Nick F'!G4="1 year ext.", "1 of 1 years (ext.)", 'Nick F'!G4="2 year ext.", "1 of 2 years (ext.)", 'Nick F'!G4="3 year ext.", "1 of 3 years (ext.)", 'Nick F'!G4="Releasing","Releasing")</f>
        <v>1 of 3 years (ext.)</v>
      </c>
      <c r="F4" s="112" t="s">
        <v>320</v>
      </c>
      <c r="G4" s="168" t="s">
        <v>331</v>
      </c>
      <c r="H4" s="105">
        <v>4.0</v>
      </c>
      <c r="I4" s="197">
        <f>IFS('Nick F'!G4="1 year ext.", 'Nick F'!C4+5, 'Nick F'!G4="2 year ext.", 'Nick F'!C4+5, 'Nick F'!G4="3 year ext.", 'Nick F'!C4+5, 'Nick F'!G4="Releasing","0")</f>
        <v>9</v>
      </c>
      <c r="J4" s="110">
        <f>IFS('Nick F'!G4="1 year ext.", "0", 'Nick F'!G4="2 year ext.", 'Nick F'!C4+10, 'Nick F'!G4="3 year ext.", 'Nick F'!C4+10, 'Nick F'!G4="Releasing","0")</f>
        <v>14</v>
      </c>
      <c r="K4" s="110">
        <f>IFS('Nick F'!G4="1 year ext.", "0", 'Nick F'!G4="2 year ext.", "0", 'Nick F'!G4="3 year ext.", 'Nick F'!C4+15, 'Nick F'!G4="Releasing","0")</f>
        <v>19</v>
      </c>
      <c r="L4" s="165"/>
      <c r="M4" s="196"/>
    </row>
    <row r="5" ht="12.75" customHeight="1">
      <c r="A5" s="103" t="s">
        <v>518</v>
      </c>
      <c r="B5" s="165" t="s">
        <v>9</v>
      </c>
      <c r="C5" s="192">
        <v>2.0</v>
      </c>
      <c r="D5" s="192">
        <v>2021.0</v>
      </c>
      <c r="E5" s="170" t="str">
        <f>IFS('Nick F'!G5="1 year ext.", "1 of 1 years (ext.)", 'Nick F'!G5="2 year ext.", "1 of 2 years (ext.)", 'Nick F'!G5="3 year ext.", "1 of 3 years (ext.)", 'Nick F'!G5="Releasing","Releasing")</f>
        <v>Releasing</v>
      </c>
      <c r="F5" s="112" t="s">
        <v>320</v>
      </c>
      <c r="G5" s="168" t="s">
        <v>326</v>
      </c>
      <c r="H5" s="105">
        <v>2.0</v>
      </c>
      <c r="I5" s="197" t="str">
        <f>IFS('Nick F'!G5="1 year ext.", 'Nick F'!C5+5, 'Nick F'!G5="2 year ext.", 'Nick F'!C5+5, 'Nick F'!G5="3 year ext.", 'Nick F'!C5+5, 'Nick F'!G5="Releasing","0")</f>
        <v>0</v>
      </c>
      <c r="J5" s="110" t="str">
        <f>IFS('Nick F'!G5="1 year ext.", "0", 'Nick F'!G5="2 year ext.", 'Nick F'!C5+10, 'Nick F'!G5="3 year ext.", 'Nick F'!C5+10, 'Nick F'!G5="Releasing","0")</f>
        <v>0</v>
      </c>
      <c r="K5" s="110" t="str">
        <f>IFS('Nick F'!G5="1 year ext.", "0", 'Nick F'!G5="2 year ext.", "0", 'Nick F'!G5="3 year ext.", 'Nick F'!C5+15, 'Nick F'!G5="Releasing","0")</f>
        <v>0</v>
      </c>
      <c r="L5" s="165"/>
      <c r="M5" s="196" t="s">
        <v>129</v>
      </c>
    </row>
    <row r="6" ht="12.75" customHeight="1">
      <c r="A6" s="103"/>
      <c r="B6" s="165"/>
      <c r="C6" s="192"/>
      <c r="D6" s="192"/>
      <c r="E6" s="170"/>
      <c r="F6" s="112"/>
      <c r="G6" s="168"/>
      <c r="H6" s="105"/>
      <c r="I6" s="165"/>
      <c r="J6" s="165"/>
      <c r="K6" s="165"/>
      <c r="L6" s="165"/>
      <c r="M6" s="196"/>
    </row>
    <row r="7" ht="12.75" customHeight="1">
      <c r="A7" s="117" t="s">
        <v>519</v>
      </c>
      <c r="B7" s="172" t="s">
        <v>24</v>
      </c>
      <c r="C7" s="203">
        <v>45.0</v>
      </c>
      <c r="D7" s="203">
        <v>2021.0</v>
      </c>
      <c r="E7" s="170" t="str">
        <f>IFS('Nick F'!G7="1 year ext.", "1 of 1 years (ext.)", 'Nick F'!G7="2 year ext.", "1 of 2 years (ext.)", 'Nick F'!G7="3 year ext.", "1 of 3 years (ext.)", 'Nick F'!G7="Releasing","Releasing")</f>
        <v>Releasing</v>
      </c>
      <c r="F7" s="112" t="s">
        <v>320</v>
      </c>
      <c r="G7" s="168" t="s">
        <v>326</v>
      </c>
      <c r="H7" s="105">
        <v>45.0</v>
      </c>
      <c r="I7" s="197" t="str">
        <f>IFS('Nick F'!G7="1 year ext.", 'Nick F'!C7+5, 'Nick F'!G7="2 year ext.", 'Nick F'!C7+5, 'Nick F'!G7="3 year ext.", 'Nick F'!C7+5, 'Nick F'!G7="Releasing","0")</f>
        <v>0</v>
      </c>
      <c r="J7" s="110" t="str">
        <f>IFS('Nick F'!G7="1 year ext.", "0", 'Nick F'!G7="2 year ext.", 'Nick F'!C7+10, 'Nick F'!G7="3 year ext.", 'Nick F'!C7+10, 'Nick F'!G7="Releasing","0")</f>
        <v>0</v>
      </c>
      <c r="K7" s="110" t="str">
        <f>IFS('Nick F'!G7="1 year ext.", "0", 'Nick F'!G7="2 year ext.", "0", 'Nick F'!G7="3 year ext.", 'Nick F'!C7+15, 'Nick F'!G7="Releasing","0")</f>
        <v>0</v>
      </c>
      <c r="L7" s="200"/>
      <c r="M7" s="199" t="s">
        <v>129</v>
      </c>
    </row>
    <row r="8" ht="12.75" customHeight="1">
      <c r="A8" s="117" t="s">
        <v>520</v>
      </c>
      <c r="B8" s="172" t="s">
        <v>24</v>
      </c>
      <c r="C8" s="203">
        <v>41.0</v>
      </c>
      <c r="D8" s="203">
        <v>2021.0</v>
      </c>
      <c r="E8" s="170" t="str">
        <f>IFS('Nick F'!G8="1 year ext.", "1 of 1 years (ext.)", 'Nick F'!G8="2 year ext.", "1 of 2 years (ext.)", 'Nick F'!G8="3 year ext.", "1 of 3 years (ext.)", 'Nick F'!G8="Releasing","Releasing")</f>
        <v>1 of 2 years (ext.)</v>
      </c>
      <c r="F8" s="112" t="s">
        <v>320</v>
      </c>
      <c r="G8" s="168" t="s">
        <v>328</v>
      </c>
      <c r="H8" s="105">
        <v>41.0</v>
      </c>
      <c r="I8" s="197">
        <f>IFS('Nick F'!G8="1 year ext.", 'Nick F'!C8+5, 'Nick F'!G8="2 year ext.", 'Nick F'!C8+5, 'Nick F'!G8="3 year ext.", 'Nick F'!C8+5, 'Nick F'!G8="Releasing","0")</f>
        <v>46</v>
      </c>
      <c r="J8" s="110">
        <f>IFS('Nick F'!G8="1 year ext.", "0", 'Nick F'!G8="2 year ext.", 'Nick F'!C8+10, 'Nick F'!G8="3 year ext.", 'Nick F'!C8+10, 'Nick F'!G8="Releasing","0")</f>
        <v>51</v>
      </c>
      <c r="K8" s="110" t="str">
        <f>IFS('Nick F'!G8="1 year ext.", "0", 'Nick F'!G8="2 year ext.", "0", 'Nick F'!G8="3 year ext.", 'Nick F'!C8+15, 'Nick F'!G8="Releasing","0")</f>
        <v>0</v>
      </c>
      <c r="L8" s="200"/>
      <c r="M8" s="196" t="s">
        <v>129</v>
      </c>
    </row>
    <row r="9" ht="12.75" customHeight="1">
      <c r="A9" s="117" t="s">
        <v>393</v>
      </c>
      <c r="B9" s="172" t="s">
        <v>24</v>
      </c>
      <c r="C9" s="203">
        <v>11.0</v>
      </c>
      <c r="D9" s="203">
        <v>2021.0</v>
      </c>
      <c r="E9" s="170" t="str">
        <f>IFS('Nick F'!G9="1 year ext.", "1 of 1 years (ext.)", 'Nick F'!G9="2 year ext.", "1 of 2 years (ext.)", 'Nick F'!G9="3 year ext.", "1 of 3 years (ext.)", 'Nick F'!G9="Releasing","Releasing")</f>
        <v>1 of 1 years (ext.)</v>
      </c>
      <c r="F9" s="112" t="s">
        <v>320</v>
      </c>
      <c r="G9" s="168" t="s">
        <v>321</v>
      </c>
      <c r="H9" s="105">
        <v>11.0</v>
      </c>
      <c r="I9" s="197">
        <f>IFS('Nick F'!G9="1 year ext.", 'Nick F'!C9+5, 'Nick F'!G9="2 year ext.", 'Nick F'!C9+5, 'Nick F'!G9="3 year ext.", 'Nick F'!C9+5, 'Nick F'!G9="Releasing","0")</f>
        <v>16</v>
      </c>
      <c r="J9" s="110" t="str">
        <f>IFS('Nick F'!G9="1 year ext.", "0", 'Nick F'!G9="2 year ext.", 'Nick F'!C9+10, 'Nick F'!G9="3 year ext.", 'Nick F'!C9+10, 'Nick F'!G9="Releasing","0")</f>
        <v>0</v>
      </c>
      <c r="K9" s="110" t="str">
        <f>IFS('Nick F'!G9="1 year ext.", "0", 'Nick F'!G9="2 year ext.", "0", 'Nick F'!G9="3 year ext.", 'Nick F'!C9+15, 'Nick F'!G9="Releasing","0")</f>
        <v>0</v>
      </c>
      <c r="L9" s="200"/>
      <c r="M9" s="196" t="s">
        <v>371</v>
      </c>
    </row>
    <row r="10" ht="12.75" customHeight="1">
      <c r="A10" s="117" t="s">
        <v>521</v>
      </c>
      <c r="B10" s="172" t="s">
        <v>24</v>
      </c>
      <c r="C10" s="203">
        <v>2.0</v>
      </c>
      <c r="D10" s="203">
        <v>2021.0</v>
      </c>
      <c r="E10" s="170" t="str">
        <f>IFS('Nick F'!G10="1 year ext.", "1 of 1 years (ext.)", 'Nick F'!G10="2 year ext.", "1 of 2 years (ext.)", 'Nick F'!G10="3 year ext.", "1 of 3 years (ext.)", 'Nick F'!G10="Releasing","Releasing")</f>
        <v>1 of 2 years (ext.)</v>
      </c>
      <c r="F10" s="112" t="s">
        <v>320</v>
      </c>
      <c r="G10" s="168" t="s">
        <v>328</v>
      </c>
      <c r="H10" s="105">
        <v>2.0</v>
      </c>
      <c r="I10" s="197">
        <f>IFS('Nick F'!G10="1 year ext.", 'Nick F'!C10+5, 'Nick F'!G10="2 year ext.", 'Nick F'!C10+5, 'Nick F'!G10="3 year ext.", 'Nick F'!C10+5, 'Nick F'!G10="Releasing","0")</f>
        <v>7</v>
      </c>
      <c r="J10" s="110">
        <f>IFS('Nick F'!G10="1 year ext.", "0", 'Nick F'!G10="2 year ext.", 'Nick F'!C10+10, 'Nick F'!G10="3 year ext.", 'Nick F'!C10+10, 'Nick F'!G10="Releasing","0")</f>
        <v>12</v>
      </c>
      <c r="K10" s="110" t="str">
        <f>IFS('Nick F'!G10="1 year ext.", "0", 'Nick F'!G10="2 year ext.", "0", 'Nick F'!G10="3 year ext.", 'Nick F'!C10+15, 'Nick F'!G10="Releasing","0")</f>
        <v>0</v>
      </c>
      <c r="L10" s="172"/>
      <c r="M10" s="199"/>
    </row>
    <row r="11" ht="12.75" customHeight="1">
      <c r="A11" s="117" t="s">
        <v>522</v>
      </c>
      <c r="B11" s="172" t="s">
        <v>24</v>
      </c>
      <c r="C11" s="203">
        <v>1.0</v>
      </c>
      <c r="D11" s="203">
        <v>2022.0</v>
      </c>
      <c r="E11" s="251" t="s">
        <v>343</v>
      </c>
      <c r="F11" s="112" t="s">
        <v>323</v>
      </c>
      <c r="G11" s="172"/>
      <c r="H11" s="105">
        <v>1.0</v>
      </c>
      <c r="I11" s="264">
        <v>1.0</v>
      </c>
      <c r="J11" s="172"/>
      <c r="K11" s="172"/>
      <c r="L11" s="172"/>
      <c r="M11" s="199" t="s">
        <v>129</v>
      </c>
    </row>
    <row r="12" ht="12.75" customHeight="1">
      <c r="A12" s="117"/>
      <c r="B12" s="172"/>
      <c r="C12" s="203"/>
      <c r="D12" s="203"/>
      <c r="E12" s="251"/>
      <c r="F12" s="112"/>
      <c r="G12" s="172"/>
      <c r="H12" s="105"/>
      <c r="I12" s="172"/>
      <c r="J12" s="172"/>
      <c r="K12" s="172"/>
      <c r="L12" s="172"/>
    </row>
    <row r="13" ht="12.75" customHeight="1">
      <c r="A13" s="117"/>
      <c r="B13" s="172"/>
      <c r="C13" s="172"/>
      <c r="D13" s="172"/>
      <c r="E13" s="172"/>
      <c r="F13" s="172"/>
      <c r="G13" s="172"/>
      <c r="H13" s="105"/>
      <c r="I13" s="172"/>
      <c r="J13" s="172"/>
      <c r="K13" s="172"/>
      <c r="L13" s="172"/>
    </row>
    <row r="14" ht="12.75" customHeight="1">
      <c r="A14" s="123" t="s">
        <v>523</v>
      </c>
      <c r="B14" s="175" t="s">
        <v>63</v>
      </c>
      <c r="C14" s="205">
        <v>11.0</v>
      </c>
      <c r="D14" s="205">
        <v>2021.0</v>
      </c>
      <c r="E14" s="170" t="str">
        <f>IFS('Nick F'!G14="1 year ext.", "1 of 1 years (ext.)", 'Nick F'!G14="2 year ext.", "1 of 2 years (ext.)", 'Nick F'!G14="3 year ext.", "1 of 3 years (ext.)", 'Nick F'!G14="Releasing","Releasing")</f>
        <v>Releasing</v>
      </c>
      <c r="F14" s="112" t="s">
        <v>320</v>
      </c>
      <c r="G14" s="168" t="s">
        <v>326</v>
      </c>
      <c r="H14" s="105">
        <v>11.0</v>
      </c>
      <c r="I14" s="197" t="str">
        <f>IFS('Nick F'!G14="1 year ext.", 'Nick F'!C14+5, 'Nick F'!G14="2 year ext.", 'Nick F'!C14+5, 'Nick F'!G14="3 year ext.", 'Nick F'!C14+5, 'Nick F'!G14="Releasing","0")</f>
        <v>0</v>
      </c>
      <c r="J14" s="110" t="str">
        <f>IFS('Nick F'!G14="1 year ext.", "0", 'Nick F'!G14="2 year ext.", 'Nick F'!C14+10, 'Nick F'!G14="3 year ext.", 'Nick F'!C14+10, 'Nick F'!G14="Releasing","0")</f>
        <v>0</v>
      </c>
      <c r="K14" s="110" t="str">
        <f>IFS('Nick F'!G14="1 year ext.", "0", 'Nick F'!G14="2 year ext.", "0", 'Nick F'!G14="3 year ext.", 'Nick F'!C14+15, 'Nick F'!G14="Releasing","0")</f>
        <v>0</v>
      </c>
      <c r="L14" s="176"/>
    </row>
    <row r="15" ht="12.75" customHeight="1">
      <c r="A15" s="125" t="s">
        <v>524</v>
      </c>
      <c r="B15" s="176" t="s">
        <v>63</v>
      </c>
      <c r="C15" s="207">
        <v>16.0</v>
      </c>
      <c r="D15" s="205">
        <v>2021.0</v>
      </c>
      <c r="E15" s="170" t="str">
        <f>IFS('Nick F'!G15="1 year ext.", "1 of 1 years (ext.)", 'Nick F'!G15="2 year ext.", "1 of 2 years (ext.)", 'Nick F'!G15="3 year ext.", "1 of 3 years (ext.)", 'Nick F'!G15="Releasing","Releasing")</f>
        <v>Releasing</v>
      </c>
      <c r="F15" s="112" t="s">
        <v>320</v>
      </c>
      <c r="G15" s="168" t="s">
        <v>326</v>
      </c>
      <c r="H15" s="105">
        <v>16.0</v>
      </c>
      <c r="I15" s="197" t="str">
        <f>IFS('Nick F'!G15="1 year ext.", 'Nick F'!C15+5, 'Nick F'!G15="2 year ext.", 'Nick F'!C15+5, 'Nick F'!G15="3 year ext.", 'Nick F'!C15+5, 'Nick F'!G15="Releasing","0")</f>
        <v>0</v>
      </c>
      <c r="J15" s="110" t="str">
        <f>IFS('Nick F'!G15="1 year ext.", "0", 'Nick F'!G15="2 year ext.", 'Nick F'!C15+10, 'Nick F'!G15="3 year ext.", 'Nick F'!C15+10, 'Nick F'!G15="Releasing","0")</f>
        <v>0</v>
      </c>
      <c r="K15" s="110" t="str">
        <f>IFS('Nick F'!G15="1 year ext.", "0", 'Nick F'!G15="2 year ext.", "0", 'Nick F'!G15="3 year ext.", 'Nick F'!C15+15, 'Nick F'!G15="Releasing","0")</f>
        <v>0</v>
      </c>
      <c r="L15" s="176"/>
      <c r="M15" s="199" t="s">
        <v>129</v>
      </c>
    </row>
    <row r="16" ht="12.75" customHeight="1">
      <c r="A16" s="125" t="s">
        <v>525</v>
      </c>
      <c r="B16" s="176" t="s">
        <v>63</v>
      </c>
      <c r="C16" s="207">
        <v>14.0</v>
      </c>
      <c r="D16" s="205">
        <v>2022.0</v>
      </c>
      <c r="E16" s="251" t="s">
        <v>343</v>
      </c>
      <c r="F16" s="112" t="s">
        <v>323</v>
      </c>
      <c r="G16" s="176"/>
      <c r="H16" s="105">
        <v>14.0</v>
      </c>
      <c r="I16" s="261">
        <v>14.0</v>
      </c>
      <c r="J16" s="176"/>
      <c r="K16" s="176"/>
      <c r="L16" s="176"/>
      <c r="M16" s="199"/>
    </row>
    <row r="17" ht="12.75" customHeight="1">
      <c r="A17" s="125" t="s">
        <v>526</v>
      </c>
      <c r="B17" s="176" t="s">
        <v>63</v>
      </c>
      <c r="C17" s="207">
        <v>6.0</v>
      </c>
      <c r="D17" s="205">
        <v>2021.0</v>
      </c>
      <c r="E17" s="170" t="str">
        <f>IFS('Nick F'!G17="1 year ext.", "1 of 1 years (ext.)", 'Nick F'!G17="2 year ext.", "1 of 2 years (ext.)", 'Nick F'!G17="3 year ext.", "1 of 3 years (ext.)", 'Nick F'!G17="Releasing","Releasing")</f>
        <v>Releasing</v>
      </c>
      <c r="F17" s="112" t="s">
        <v>320</v>
      </c>
      <c r="G17" s="168" t="s">
        <v>326</v>
      </c>
      <c r="H17" s="105">
        <v>6.0</v>
      </c>
      <c r="I17" s="197" t="str">
        <f>IFS('Nick F'!G17="1 year ext.", 'Nick F'!C17+5, 'Nick F'!G17="2 year ext.", 'Nick F'!C17+5, 'Nick F'!G17="3 year ext.", 'Nick F'!C17+5, 'Nick F'!G17="Releasing","0")</f>
        <v>0</v>
      </c>
      <c r="J17" s="110" t="str">
        <f>IFS('Nick F'!G17="1 year ext.", "0", 'Nick F'!G17="2 year ext.", 'Nick F'!C17+10, 'Nick F'!G17="3 year ext.", 'Nick F'!C17+10, 'Nick F'!G17="Releasing","0")</f>
        <v>0</v>
      </c>
      <c r="K17" s="110" t="str">
        <f>IFS('Nick F'!G17="1 year ext.", "0", 'Nick F'!G17="2 year ext.", "0", 'Nick F'!G17="3 year ext.", 'Nick F'!C17+15, 'Nick F'!G17="Releasing","0")</f>
        <v>0</v>
      </c>
      <c r="L17" s="176"/>
      <c r="M17" s="199"/>
    </row>
    <row r="18" ht="12.75" customHeight="1">
      <c r="A18" s="125"/>
      <c r="B18" s="176" t="s">
        <v>63</v>
      </c>
      <c r="C18" s="207"/>
      <c r="D18" s="205"/>
      <c r="E18" s="251"/>
      <c r="F18" s="112"/>
      <c r="G18" s="176"/>
      <c r="H18" s="105"/>
      <c r="I18" s="176"/>
      <c r="J18" s="176"/>
      <c r="K18" s="176"/>
      <c r="L18" s="176"/>
      <c r="M18" s="196" t="s">
        <v>129</v>
      </c>
    </row>
    <row r="19" ht="12.75" customHeight="1">
      <c r="A19" s="125"/>
      <c r="B19" s="176" t="s">
        <v>63</v>
      </c>
      <c r="C19" s="207"/>
      <c r="D19" s="205"/>
      <c r="E19" s="251"/>
      <c r="F19" s="112"/>
      <c r="G19" s="176"/>
      <c r="H19" s="105"/>
      <c r="I19" s="176"/>
      <c r="J19" s="176"/>
      <c r="K19" s="176"/>
      <c r="L19" s="176"/>
      <c r="M19" s="196"/>
    </row>
    <row r="20" ht="12.75" customHeight="1">
      <c r="A20" s="125" t="s">
        <v>242</v>
      </c>
      <c r="B20" s="176" t="s">
        <v>63</v>
      </c>
      <c r="C20" s="207">
        <v>5.0</v>
      </c>
      <c r="D20" s="205">
        <v>2022.0</v>
      </c>
      <c r="E20" s="251" t="s">
        <v>343</v>
      </c>
      <c r="F20" s="112" t="s">
        <v>323</v>
      </c>
      <c r="G20" s="176"/>
      <c r="H20" s="105">
        <v>5.0</v>
      </c>
      <c r="I20" s="261">
        <v>5.0</v>
      </c>
      <c r="J20" s="176"/>
      <c r="K20" s="176"/>
      <c r="L20" s="176"/>
      <c r="M20" s="196"/>
    </row>
    <row r="21" ht="12.75" customHeight="1">
      <c r="A21" s="125" t="s">
        <v>527</v>
      </c>
      <c r="B21" s="176" t="s">
        <v>63</v>
      </c>
      <c r="C21" s="207">
        <v>1.0</v>
      </c>
      <c r="D21" s="205">
        <v>2021.0</v>
      </c>
      <c r="E21" s="170" t="str">
        <f>IFS('Nick F'!G21="1 year ext.", "1 of 1 years (ext.)", 'Nick F'!G21="2 year ext.", "1 of 2 years (ext.)", 'Nick F'!G21="3 year ext.", "1 of 3 years (ext.)", 'Nick F'!G21="Releasing","Releasing")</f>
        <v>Releasing</v>
      </c>
      <c r="F21" s="112" t="s">
        <v>320</v>
      </c>
      <c r="G21" s="168" t="s">
        <v>326</v>
      </c>
      <c r="H21" s="105">
        <v>1.0</v>
      </c>
      <c r="I21" s="197" t="str">
        <f>IFS('Nick F'!G21="1 year ext.", 'Nick F'!C21+5, 'Nick F'!G21="2 year ext.", 'Nick F'!C21+5, 'Nick F'!G21="3 year ext.", 'Nick F'!C21+5, 'Nick F'!G21="Releasing","0")</f>
        <v>0</v>
      </c>
      <c r="J21" s="110" t="str">
        <f>IFS('Nick F'!G21="1 year ext.", "0", 'Nick F'!G21="2 year ext.", 'Nick F'!C21+10, 'Nick F'!G21="3 year ext.", 'Nick F'!C21+10, 'Nick F'!G21="Releasing","0")</f>
        <v>0</v>
      </c>
      <c r="K21" s="110" t="str">
        <f>IFS('Nick F'!G21="1 year ext.", "0", 'Nick F'!G21="2 year ext.", "0", 'Nick F'!G21="3 year ext.", 'Nick F'!C21+15, 'Nick F'!G21="Releasing","0")</f>
        <v>0</v>
      </c>
      <c r="L21" s="176"/>
      <c r="M21" s="196"/>
    </row>
    <row r="22" ht="12.75" customHeight="1">
      <c r="A22" s="125"/>
      <c r="B22" s="176"/>
      <c r="C22" s="176"/>
      <c r="D22" s="175"/>
      <c r="E22" s="175"/>
      <c r="F22" s="176"/>
      <c r="G22" s="176"/>
      <c r="H22" s="105"/>
      <c r="I22" s="176"/>
      <c r="J22" s="176"/>
      <c r="K22" s="176"/>
      <c r="L22" s="176"/>
      <c r="M22" s="196"/>
    </row>
    <row r="23" ht="12.75" customHeight="1">
      <c r="A23" s="131" t="s">
        <v>528</v>
      </c>
      <c r="B23" s="177" t="s">
        <v>111</v>
      </c>
      <c r="C23" s="210">
        <v>4.0</v>
      </c>
      <c r="D23" s="210">
        <v>2021.0</v>
      </c>
      <c r="E23" s="170" t="str">
        <f>IFS('Nick F'!G23="1 year ext.", "1 of 1 years (ext.)", 'Nick F'!G23="2 year ext.", "1 of 2 years (ext.)", 'Nick F'!G23="3 year ext.", "1 of 3 years (ext.)", 'Nick F'!G23="Releasing","Releasing")</f>
        <v>Releasing</v>
      </c>
      <c r="F23" s="112" t="s">
        <v>320</v>
      </c>
      <c r="G23" s="168" t="s">
        <v>326</v>
      </c>
      <c r="H23" s="105">
        <v>4.0</v>
      </c>
      <c r="I23" s="197" t="str">
        <f>IFS('Nick F'!G23="1 year ext.", 'Nick F'!C23+5, 'Nick F'!G23="2 year ext.", 'Nick F'!C23+5, 'Nick F'!G23="3 year ext.", 'Nick F'!C23+5, 'Nick F'!G23="Releasing","0")</f>
        <v>0</v>
      </c>
      <c r="J23" s="110" t="str">
        <f>IFS('Nick F'!G23="1 year ext.", "0", 'Nick F'!G23="2 year ext.", 'Nick F'!C23+10, 'Nick F'!G23="3 year ext.", 'Nick F'!C23+10, 'Nick F'!G23="Releasing","0")</f>
        <v>0</v>
      </c>
      <c r="K23" s="110" t="str">
        <f>IFS('Nick F'!G23="1 year ext.", "0", 'Nick F'!G23="2 year ext.", "0", 'Nick F'!G23="3 year ext.", 'Nick F'!C23+15, 'Nick F'!G23="Releasing","0")</f>
        <v>0</v>
      </c>
      <c r="L23" s="177"/>
      <c r="M23" s="196"/>
    </row>
    <row r="24" ht="12.75" customHeight="1">
      <c r="A24" s="131" t="s">
        <v>254</v>
      </c>
      <c r="B24" s="177" t="s">
        <v>111</v>
      </c>
      <c r="C24" s="210">
        <v>1.0</v>
      </c>
      <c r="D24" s="210">
        <v>2021.0</v>
      </c>
      <c r="E24" s="170" t="str">
        <f>IFS('Nick F'!G24="1 year ext.", "1 of 1 years (ext.)", 'Nick F'!G24="2 year ext.", "1 of 2 years (ext.)", 'Nick F'!G24="3 year ext.", "1 of 3 years (ext.)", 'Nick F'!G24="Releasing","Releasing")</f>
        <v>Releasing</v>
      </c>
      <c r="F24" s="112" t="s">
        <v>320</v>
      </c>
      <c r="G24" s="168" t="s">
        <v>326</v>
      </c>
      <c r="H24" s="105">
        <v>1.0</v>
      </c>
      <c r="I24" s="197" t="str">
        <f>IFS('Nick F'!G24="1 year ext.", 'Nick F'!C24+5, 'Nick F'!G24="2 year ext.", 'Nick F'!C24+5, 'Nick F'!G24="3 year ext.", 'Nick F'!C24+5, 'Nick F'!G24="Releasing","0")</f>
        <v>0</v>
      </c>
      <c r="J24" s="110" t="str">
        <f>IFS('Nick F'!G24="1 year ext.", "0", 'Nick F'!G24="2 year ext.", 'Nick F'!C24+10, 'Nick F'!G24="3 year ext.", 'Nick F'!C24+10, 'Nick F'!G24="Releasing","0")</f>
        <v>0</v>
      </c>
      <c r="K24" s="110" t="str">
        <f>IFS('Nick F'!G24="1 year ext.", "0", 'Nick F'!G24="2 year ext.", "0", 'Nick F'!G24="3 year ext.", 'Nick F'!C24+15, 'Nick F'!G24="Releasing","0")</f>
        <v>0</v>
      </c>
      <c r="L24" s="177"/>
      <c r="M24" s="196" t="s">
        <v>129</v>
      </c>
    </row>
    <row r="25" ht="12.75" customHeight="1">
      <c r="A25" s="133"/>
      <c r="B25" s="179"/>
      <c r="C25" s="179"/>
      <c r="D25" s="179"/>
      <c r="E25" s="165"/>
      <c r="F25" s="179"/>
      <c r="G25" s="179"/>
      <c r="H25" s="105"/>
      <c r="I25" s="179"/>
      <c r="J25" s="179"/>
      <c r="K25" s="179"/>
      <c r="L25" s="179"/>
      <c r="M25" s="196" t="s">
        <v>129</v>
      </c>
    </row>
    <row r="26" ht="12.75" customHeight="1">
      <c r="A26" s="133"/>
      <c r="B26" s="179" t="s">
        <v>124</v>
      </c>
      <c r="C26" s="179"/>
      <c r="D26" s="234">
        <v>2021.0</v>
      </c>
      <c r="E26" s="170" t="str">
        <f>IFS('Nick F'!G26="1 year ext.", "1 of 1 years (ext.)", 'Nick F'!G26="2 year ext.", "1 of 2 years (ext.)", 'Nick F'!G26="3 year ext.", "1 of 3 years (ext.)", 'Nick F'!G26="Releasing","Releasing")</f>
        <v>Releasing</v>
      </c>
      <c r="F26" s="112" t="s">
        <v>320</v>
      </c>
      <c r="G26" s="168" t="s">
        <v>326</v>
      </c>
      <c r="H26" s="105"/>
      <c r="I26" s="197" t="str">
        <f>IFS('Nick F'!G26="1 year ext.", 'Nick F'!C26+5, 'Nick F'!G26="2 year ext.", 'Nick F'!C26+5, 'Nick F'!G26="3 year ext.", 'Nick F'!C26+5, 'Nick F'!G26="Releasing","0")</f>
        <v>0</v>
      </c>
      <c r="J26" s="110" t="str">
        <f>IFS('Nick F'!G26="1 year ext.", "0", 'Nick F'!G26="2 year ext.", 'Nick F'!C26+10, 'Nick F'!G26="3 year ext.", 'Nick F'!C26+10, 'Nick F'!G26="Releasing","0")</f>
        <v>0</v>
      </c>
      <c r="K26" s="110" t="str">
        <f>IFS('Nick F'!G26="1 year ext.", "0", 'Nick F'!G26="2 year ext.", "0", 'Nick F'!G26="3 year ext.", 'Nick F'!C26+15, 'Nick F'!G26="Releasing","0")</f>
        <v>0</v>
      </c>
      <c r="L26" s="179"/>
      <c r="M26" s="196"/>
    </row>
    <row r="27" ht="12.75" customHeight="1">
      <c r="A27" s="133"/>
      <c r="B27" s="179"/>
      <c r="C27" s="179"/>
      <c r="D27" s="179"/>
      <c r="E27" s="179"/>
      <c r="F27" s="179"/>
      <c r="G27" s="179"/>
      <c r="H27" s="105"/>
      <c r="I27" s="179"/>
      <c r="J27" s="179"/>
      <c r="K27" s="179"/>
      <c r="L27" s="179"/>
      <c r="M27" s="196"/>
    </row>
    <row r="28" ht="12.75" customHeight="1">
      <c r="A28" s="135" t="s">
        <v>263</v>
      </c>
      <c r="B28" s="180" t="s">
        <v>133</v>
      </c>
      <c r="C28" s="214">
        <v>1.0</v>
      </c>
      <c r="D28" s="214">
        <v>2021.0</v>
      </c>
      <c r="E28" s="170" t="str">
        <f>IFS('Nick F'!G28="1 year ext.", "1 of 1 years (ext.)", 'Nick F'!G28="2 year ext.", "1 of 2 years (ext.)", 'Nick F'!G28="3 year ext.", "1 of 3 years (ext.)", 'Nick F'!G28="Releasing","Releasing")</f>
        <v>Releasing</v>
      </c>
      <c r="F28" s="112" t="s">
        <v>320</v>
      </c>
      <c r="G28" s="168" t="s">
        <v>326</v>
      </c>
      <c r="H28" s="105">
        <v>1.0</v>
      </c>
      <c r="I28" s="180"/>
      <c r="J28" s="180"/>
      <c r="K28" s="180"/>
      <c r="L28" s="180"/>
      <c r="M28" s="196" t="s">
        <v>371</v>
      </c>
    </row>
    <row r="29" ht="12.75" customHeight="1">
      <c r="A29" s="135"/>
      <c r="B29" s="180"/>
      <c r="C29" s="180"/>
      <c r="D29" s="180"/>
      <c r="E29" s="180"/>
      <c r="F29" s="180"/>
      <c r="G29" s="180"/>
      <c r="H29" s="105"/>
      <c r="I29" s="180"/>
      <c r="J29" s="180"/>
      <c r="K29" s="180"/>
      <c r="L29" s="180"/>
      <c r="M29" s="196" t="s">
        <v>129</v>
      </c>
    </row>
    <row r="30" ht="12.75" customHeight="1">
      <c r="A30" s="216"/>
      <c r="B30" s="170"/>
      <c r="C30" s="170"/>
      <c r="D30" s="170"/>
      <c r="E30" s="165"/>
      <c r="F30" s="170"/>
      <c r="G30" s="170"/>
      <c r="H30" s="105"/>
      <c r="I30" s="170"/>
      <c r="J30" s="170"/>
      <c r="K30" s="170"/>
      <c r="L30" s="170"/>
      <c r="M30" s="196"/>
    </row>
    <row r="31" ht="12.75" customHeight="1">
      <c r="A31" s="140" t="s">
        <v>341</v>
      </c>
      <c r="B31" s="141"/>
      <c r="C31" s="141"/>
      <c r="D31" s="141"/>
      <c r="E31" s="141"/>
      <c r="F31" s="141"/>
      <c r="G31" s="141"/>
      <c r="H31" s="219"/>
      <c r="I31" s="141"/>
      <c r="J31" s="141"/>
      <c r="K31" s="141"/>
      <c r="L31" s="141"/>
      <c r="M31" s="199" t="s">
        <v>129</v>
      </c>
    </row>
    <row r="32" ht="12.75" customHeight="1">
      <c r="A32" s="265" t="s">
        <v>235</v>
      </c>
      <c r="B32" s="147"/>
      <c r="C32" s="266">
        <v>9.0</v>
      </c>
      <c r="D32" s="266">
        <v>2023.0</v>
      </c>
      <c r="E32" s="248" t="s">
        <v>510</v>
      </c>
      <c r="F32" s="141"/>
      <c r="G32" s="141"/>
      <c r="H32" s="267">
        <v>18.0</v>
      </c>
      <c r="I32" s="268">
        <v>9.0</v>
      </c>
      <c r="J32" s="142"/>
      <c r="K32" s="142"/>
      <c r="L32" s="142"/>
      <c r="M32" s="196" t="s">
        <v>129</v>
      </c>
    </row>
    <row r="33" ht="12.75" customHeight="1">
      <c r="A33" s="265" t="s">
        <v>303</v>
      </c>
      <c r="B33" s="147"/>
      <c r="C33" s="266">
        <v>9.0</v>
      </c>
      <c r="D33" s="266">
        <v>2023.0</v>
      </c>
      <c r="E33" s="248" t="s">
        <v>510</v>
      </c>
      <c r="F33" s="141"/>
      <c r="G33" s="141"/>
      <c r="H33" s="267">
        <v>18.0</v>
      </c>
      <c r="I33" s="268">
        <v>9.0</v>
      </c>
      <c r="J33" s="142"/>
      <c r="K33" s="142"/>
      <c r="L33" s="142"/>
      <c r="M33" s="196" t="s">
        <v>129</v>
      </c>
    </row>
    <row r="34" ht="12.75" customHeight="1">
      <c r="A34" s="265" t="s">
        <v>529</v>
      </c>
      <c r="B34" s="147"/>
      <c r="C34" s="266">
        <v>1.0</v>
      </c>
      <c r="D34" s="141"/>
      <c r="E34" s="141"/>
      <c r="F34" s="141"/>
      <c r="G34" s="141"/>
      <c r="H34" s="267">
        <v>2.0</v>
      </c>
      <c r="I34" s="268">
        <v>1.0</v>
      </c>
      <c r="J34" s="142"/>
      <c r="K34" s="142"/>
      <c r="L34" s="142"/>
      <c r="M34" s="196" t="s">
        <v>129</v>
      </c>
    </row>
    <row r="35" ht="12.75" customHeight="1">
      <c r="A35" s="146" t="s">
        <v>217</v>
      </c>
      <c r="B35" s="147"/>
      <c r="C35" s="148"/>
      <c r="D35" s="148">
        <v>2021.0</v>
      </c>
      <c r="E35" s="248" t="s">
        <v>510</v>
      </c>
      <c r="F35" s="141"/>
      <c r="G35" s="141"/>
      <c r="H35" s="219">
        <v>3.0</v>
      </c>
      <c r="I35" s="142"/>
      <c r="J35" s="142"/>
      <c r="K35" s="142"/>
      <c r="L35" s="142"/>
      <c r="M35" s="196" t="s">
        <v>129</v>
      </c>
    </row>
    <row r="36" ht="12.75" customHeight="1">
      <c r="A36" s="146" t="s">
        <v>530</v>
      </c>
      <c r="B36" s="147"/>
      <c r="C36" s="148"/>
      <c r="D36" s="148">
        <v>2021.0</v>
      </c>
      <c r="E36" s="248" t="s">
        <v>510</v>
      </c>
      <c r="F36" s="141"/>
      <c r="G36" s="141"/>
      <c r="H36" s="219">
        <v>1.0</v>
      </c>
      <c r="I36" s="142"/>
      <c r="J36" s="142"/>
      <c r="K36" s="142"/>
      <c r="L36" s="142"/>
    </row>
    <row r="37" ht="12.75" customHeight="1">
      <c r="A37" s="146" t="s">
        <v>531</v>
      </c>
      <c r="B37" s="147"/>
      <c r="C37" s="148"/>
      <c r="D37" s="141"/>
      <c r="E37" s="141"/>
      <c r="F37" s="141"/>
      <c r="G37" s="141"/>
      <c r="H37" s="219">
        <v>1.0</v>
      </c>
      <c r="I37" s="142"/>
      <c r="J37" s="142"/>
      <c r="K37" s="142"/>
      <c r="L37" s="142"/>
    </row>
    <row r="38" ht="12.75" customHeight="1">
      <c r="A38" s="146" t="s">
        <v>274</v>
      </c>
      <c r="B38" s="147"/>
      <c r="C38" s="148"/>
      <c r="D38" s="141"/>
      <c r="E38" s="141"/>
      <c r="F38" s="141"/>
      <c r="G38" s="141"/>
      <c r="H38" s="219">
        <v>1.0</v>
      </c>
      <c r="I38" s="142"/>
      <c r="J38" s="142"/>
      <c r="K38" s="142"/>
      <c r="L38" s="142"/>
    </row>
    <row r="39" ht="12.75" customHeight="1">
      <c r="A39" s="146" t="s">
        <v>532</v>
      </c>
      <c r="B39" s="147"/>
      <c r="C39" s="148"/>
      <c r="D39" s="141"/>
      <c r="E39" s="141"/>
      <c r="F39" s="141"/>
      <c r="G39" s="141"/>
      <c r="H39" s="219">
        <v>1.0</v>
      </c>
      <c r="I39" s="142"/>
      <c r="J39" s="142"/>
      <c r="K39" s="142"/>
      <c r="L39" s="142"/>
    </row>
    <row r="40" ht="12.75" customHeight="1">
      <c r="A40" s="146"/>
      <c r="B40" s="147"/>
      <c r="C40" s="141"/>
      <c r="D40" s="141"/>
      <c r="E40" s="141"/>
      <c r="F40" s="141"/>
      <c r="G40" s="141"/>
      <c r="H40" s="141"/>
      <c r="I40" s="141"/>
      <c r="J40" s="141"/>
      <c r="K40" s="141"/>
      <c r="L40" s="141"/>
    </row>
    <row r="41" ht="12.75" customHeight="1">
      <c r="A41" s="185"/>
      <c r="B41" s="98"/>
      <c r="C41" s="186"/>
      <c r="D41" s="98"/>
      <c r="E41" s="98"/>
      <c r="F41" s="98"/>
      <c r="G41" s="98"/>
      <c r="H41" s="98"/>
      <c r="I41" s="98"/>
      <c r="J41" s="98"/>
      <c r="K41" s="98"/>
      <c r="L41" s="98"/>
    </row>
    <row r="42" ht="12.75" customHeight="1">
      <c r="A42" s="252" t="s">
        <v>349</v>
      </c>
      <c r="B42" s="154"/>
      <c r="C42" s="253">
        <f>SUM('Nick F'!C3:C40)</f>
        <v>198</v>
      </c>
      <c r="D42" s="256"/>
      <c r="E42" s="256"/>
      <c r="F42" s="156"/>
      <c r="G42" s="156"/>
      <c r="H42" s="253">
        <f>SUM('Nick F'!H3:H40)</f>
        <v>224</v>
      </c>
      <c r="I42" s="253">
        <f>SUM('Nick F'!I3:I40)</f>
        <v>117</v>
      </c>
      <c r="J42" s="253">
        <f>SUM('Nick F'!J3:J40)</f>
        <v>77</v>
      </c>
      <c r="K42" s="253">
        <f>SUM('Nick F'!K3:K40)</f>
        <v>19</v>
      </c>
      <c r="L42" s="156"/>
    </row>
    <row r="43" ht="12.75" customHeight="1">
      <c r="A43" s="254" t="s">
        <v>350</v>
      </c>
      <c r="B43" s="255"/>
      <c r="C43" s="255">
        <f>(250-'Nick F'!C42)</f>
        <v>52</v>
      </c>
      <c r="D43" s="98"/>
      <c r="E43" s="98"/>
      <c r="F43" s="98"/>
      <c r="G43" s="98"/>
      <c r="H43" s="255">
        <f>(250-'Nick F'!H42)</f>
        <v>26</v>
      </c>
      <c r="I43" s="255">
        <f>(250-'Nick F'!I42)</f>
        <v>133</v>
      </c>
      <c r="J43" s="255">
        <f>(250-'Nick F'!J42)</f>
        <v>173</v>
      </c>
      <c r="K43" s="255">
        <f>(250-'Nick F'!K42)</f>
        <v>231</v>
      </c>
      <c r="L43" s="98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dataValidations>
    <dataValidation type="list" allowBlank="1" showErrorMessage="1" sqref="G3:G5 G7:G10 G14:G15 G17 G21 G23:G24 G26 G28">
      <formula1>"1 year ext.,2 year ext.,3 year ext.,Releasing"</formula1>
    </dataValidation>
  </dataValidations>
  <printOptions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8.86"/>
    <col customWidth="1" min="4" max="4" width="12.0"/>
    <col customWidth="1" min="5" max="5" width="17.86"/>
    <col customWidth="1" min="6" max="6" width="16.71"/>
    <col customWidth="1" min="7" max="26" width="8.86"/>
  </cols>
  <sheetData>
    <row r="1" ht="12.75" customHeight="1">
      <c r="A1" s="99" t="s">
        <v>184</v>
      </c>
      <c r="B1" s="99"/>
      <c r="C1" s="99"/>
      <c r="D1" s="99"/>
      <c r="E1" s="99"/>
      <c r="F1" s="99"/>
    </row>
    <row r="2" ht="12.75" customHeight="1">
      <c r="A2" s="269" t="s">
        <v>7</v>
      </c>
      <c r="B2" s="269" t="s">
        <v>308</v>
      </c>
      <c r="C2" s="269" t="s">
        <v>351</v>
      </c>
      <c r="D2" s="269" t="s">
        <v>310</v>
      </c>
      <c r="E2" s="269" t="s">
        <v>352</v>
      </c>
      <c r="F2" s="269" t="s">
        <v>318</v>
      </c>
    </row>
    <row r="3" ht="12.75" customHeight="1">
      <c r="A3" s="270" t="s">
        <v>533</v>
      </c>
      <c r="B3" s="270" t="s">
        <v>9</v>
      </c>
      <c r="C3" s="270">
        <v>46.0</v>
      </c>
      <c r="D3" s="270">
        <v>2021.0</v>
      </c>
      <c r="E3" s="270" t="s">
        <v>359</v>
      </c>
      <c r="F3" s="270" t="s">
        <v>129</v>
      </c>
      <c r="G3" s="196" t="s">
        <v>129</v>
      </c>
    </row>
    <row r="4" ht="12.75" customHeight="1">
      <c r="A4" s="270"/>
      <c r="B4" s="270" t="s">
        <v>9</v>
      </c>
      <c r="C4" s="270"/>
      <c r="D4" s="270">
        <v>2021.0</v>
      </c>
      <c r="E4" s="270" t="s">
        <v>359</v>
      </c>
      <c r="F4" s="270"/>
      <c r="G4" s="196" t="s">
        <v>129</v>
      </c>
    </row>
    <row r="5" ht="12.75" customHeight="1">
      <c r="A5" s="270"/>
      <c r="B5" s="270" t="s">
        <v>9</v>
      </c>
      <c r="C5" s="270"/>
      <c r="D5" s="270">
        <v>2021.0</v>
      </c>
      <c r="E5" s="270" t="s">
        <v>359</v>
      </c>
      <c r="F5" s="270"/>
      <c r="G5" s="199" t="s">
        <v>129</v>
      </c>
    </row>
    <row r="6" ht="12.75" customHeight="1">
      <c r="A6" s="271" t="s">
        <v>440</v>
      </c>
      <c r="B6" s="271" t="s">
        <v>24</v>
      </c>
      <c r="C6" s="271">
        <v>39.0</v>
      </c>
      <c r="D6" s="271">
        <v>2021.0</v>
      </c>
      <c r="E6" s="271" t="s">
        <v>359</v>
      </c>
      <c r="F6" s="272"/>
      <c r="G6" s="196" t="s">
        <v>129</v>
      </c>
    </row>
    <row r="7" ht="12.75" customHeight="1">
      <c r="A7" s="271"/>
      <c r="B7" s="271" t="s">
        <v>24</v>
      </c>
      <c r="C7" s="271"/>
      <c r="D7" s="271">
        <v>2021.0</v>
      </c>
      <c r="E7" s="271" t="s">
        <v>359</v>
      </c>
      <c r="F7" s="271" t="s">
        <v>129</v>
      </c>
      <c r="G7" s="196" t="s">
        <v>371</v>
      </c>
    </row>
    <row r="8" ht="12.75" customHeight="1">
      <c r="A8" s="271"/>
      <c r="B8" s="271" t="s">
        <v>24</v>
      </c>
      <c r="C8" s="271"/>
      <c r="D8" s="271">
        <v>2021.0</v>
      </c>
      <c r="E8" s="271" t="s">
        <v>359</v>
      </c>
      <c r="F8" s="271" t="s">
        <v>129</v>
      </c>
      <c r="G8" s="199" t="s">
        <v>129</v>
      </c>
    </row>
    <row r="9" ht="12.75" customHeight="1">
      <c r="A9" s="271"/>
      <c r="B9" s="271" t="s">
        <v>24</v>
      </c>
      <c r="C9" s="271" t="s">
        <v>129</v>
      </c>
      <c r="D9" s="271">
        <v>2021.0</v>
      </c>
      <c r="E9" s="271" t="s">
        <v>359</v>
      </c>
      <c r="F9" s="271"/>
      <c r="G9" s="199" t="s">
        <v>129</v>
      </c>
    </row>
    <row r="10" ht="12.75" customHeight="1">
      <c r="A10" s="273" t="s">
        <v>69</v>
      </c>
      <c r="B10" s="273" t="s">
        <v>63</v>
      </c>
      <c r="C10" s="273">
        <v>24.0</v>
      </c>
      <c r="D10" s="273">
        <v>2021.0</v>
      </c>
      <c r="E10" s="273" t="s">
        <v>359</v>
      </c>
      <c r="F10" s="274"/>
      <c r="G10" s="196" t="s">
        <v>129</v>
      </c>
    </row>
    <row r="11" ht="12.75" customHeight="1">
      <c r="A11" s="274"/>
      <c r="B11" s="274" t="s">
        <v>63</v>
      </c>
      <c r="C11" s="274"/>
      <c r="D11" s="273">
        <v>2021.0</v>
      </c>
      <c r="E11" s="273" t="s">
        <v>359</v>
      </c>
      <c r="F11" s="274"/>
      <c r="G11" s="196" t="s">
        <v>129</v>
      </c>
    </row>
    <row r="12" ht="12.75" customHeight="1">
      <c r="A12" s="274" t="s">
        <v>371</v>
      </c>
      <c r="B12" s="274" t="s">
        <v>63</v>
      </c>
      <c r="C12" s="274" t="s">
        <v>129</v>
      </c>
      <c r="D12" s="273">
        <v>2021.0</v>
      </c>
      <c r="E12" s="273" t="s">
        <v>359</v>
      </c>
      <c r="F12" s="274"/>
      <c r="G12" s="196" t="s">
        <v>129</v>
      </c>
    </row>
    <row r="13" ht="12.75" customHeight="1">
      <c r="A13" s="274" t="s">
        <v>129</v>
      </c>
      <c r="B13" s="274" t="s">
        <v>63</v>
      </c>
      <c r="C13" s="274" t="s">
        <v>129</v>
      </c>
      <c r="D13" s="273">
        <v>2021.0</v>
      </c>
      <c r="E13" s="273" t="s">
        <v>359</v>
      </c>
      <c r="F13" s="274" t="s">
        <v>129</v>
      </c>
      <c r="G13" s="196" t="s">
        <v>371</v>
      </c>
    </row>
    <row r="14" ht="12.75" customHeight="1">
      <c r="A14" s="275" t="s">
        <v>528</v>
      </c>
      <c r="B14" s="275" t="s">
        <v>111</v>
      </c>
      <c r="C14" s="275">
        <v>6.0</v>
      </c>
      <c r="D14" s="275">
        <v>2021.0</v>
      </c>
      <c r="E14" s="275" t="s">
        <v>359</v>
      </c>
      <c r="F14" s="275"/>
      <c r="G14" s="196" t="s">
        <v>129</v>
      </c>
    </row>
    <row r="15" ht="12.75" customHeight="1">
      <c r="A15" s="275"/>
      <c r="B15" s="275" t="s">
        <v>111</v>
      </c>
      <c r="C15" s="275"/>
      <c r="D15" s="275">
        <v>2021.0</v>
      </c>
      <c r="E15" s="275" t="s">
        <v>359</v>
      </c>
      <c r="F15" s="275" t="s">
        <v>129</v>
      </c>
      <c r="G15" s="199" t="s">
        <v>129</v>
      </c>
    </row>
    <row r="16" ht="12.75" customHeight="1">
      <c r="A16" s="276" t="s">
        <v>128</v>
      </c>
      <c r="B16" s="276" t="s">
        <v>124</v>
      </c>
      <c r="C16" s="276">
        <v>2.0</v>
      </c>
      <c r="D16" s="276">
        <v>2021.0</v>
      </c>
      <c r="E16" s="276" t="s">
        <v>359</v>
      </c>
      <c r="F16" s="276"/>
      <c r="G16" s="196" t="s">
        <v>129</v>
      </c>
    </row>
    <row r="17" ht="12.75" customHeight="1">
      <c r="A17" s="276" t="s">
        <v>129</v>
      </c>
      <c r="B17" s="276" t="s">
        <v>124</v>
      </c>
      <c r="C17" s="276" t="s">
        <v>371</v>
      </c>
      <c r="D17" s="276">
        <v>2021.0</v>
      </c>
      <c r="E17" s="276" t="s">
        <v>359</v>
      </c>
      <c r="F17" s="276"/>
      <c r="G17" s="196" t="s">
        <v>129</v>
      </c>
    </row>
    <row r="18" ht="12.75" customHeight="1">
      <c r="A18" s="277" t="s">
        <v>534</v>
      </c>
      <c r="B18" s="277" t="s">
        <v>133</v>
      </c>
      <c r="C18" s="277">
        <v>1.0</v>
      </c>
      <c r="D18" s="277">
        <v>2021.0</v>
      </c>
      <c r="E18" s="277" t="s">
        <v>359</v>
      </c>
      <c r="F18" s="277"/>
      <c r="G18" s="196" t="s">
        <v>129</v>
      </c>
    </row>
    <row r="19" ht="12.75" customHeight="1">
      <c r="A19" s="277" t="s">
        <v>129</v>
      </c>
      <c r="B19" s="277" t="s">
        <v>133</v>
      </c>
      <c r="C19" s="277" t="s">
        <v>129</v>
      </c>
      <c r="D19" s="277">
        <v>2021.0</v>
      </c>
      <c r="E19" s="277" t="s">
        <v>359</v>
      </c>
      <c r="F19" s="277"/>
      <c r="G19" s="196" t="s">
        <v>129</v>
      </c>
    </row>
    <row r="20" ht="12.75" customHeight="1">
      <c r="A20" s="278" t="s">
        <v>268</v>
      </c>
      <c r="B20" s="278" t="s">
        <v>141</v>
      </c>
      <c r="C20" s="278">
        <v>5.0</v>
      </c>
      <c r="D20" s="278">
        <v>2021.0</v>
      </c>
      <c r="E20" s="278" t="s">
        <v>359</v>
      </c>
      <c r="F20" s="278" t="s">
        <v>129</v>
      </c>
    </row>
    <row r="21" ht="12.75" customHeight="1">
      <c r="A21" s="199" t="s">
        <v>349</v>
      </c>
      <c r="C21" s="199">
        <f>SUM(C3:C20)</f>
        <v>123</v>
      </c>
    </row>
    <row r="22" ht="12.75" customHeight="1">
      <c r="C22" s="199">
        <v>0.0</v>
      </c>
      <c r="D22" s="199" t="s">
        <v>129</v>
      </c>
      <c r="E22" s="199" t="s">
        <v>129</v>
      </c>
    </row>
    <row r="23" ht="12.75" customHeight="1">
      <c r="A23" s="199" t="s">
        <v>350</v>
      </c>
      <c r="C23" s="199">
        <f>200-C21-C22</f>
        <v>77</v>
      </c>
    </row>
    <row r="24" ht="12.75" customHeight="1"/>
    <row r="25" ht="12.75" customHeight="1">
      <c r="A25" s="199" t="s">
        <v>129</v>
      </c>
      <c r="B25" s="199" t="s">
        <v>129</v>
      </c>
      <c r="C25" s="199" t="s">
        <v>371</v>
      </c>
      <c r="D25" s="199" t="s">
        <v>129</v>
      </c>
      <c r="E25" s="199" t="s">
        <v>129</v>
      </c>
      <c r="F25" s="199" t="s">
        <v>129</v>
      </c>
    </row>
    <row r="26" ht="12.75" customHeight="1">
      <c r="A26" s="199" t="s">
        <v>129</v>
      </c>
      <c r="B26" s="199" t="s">
        <v>129</v>
      </c>
      <c r="C26" s="199" t="s">
        <v>129</v>
      </c>
      <c r="D26" s="199" t="s">
        <v>129</v>
      </c>
      <c r="E26" s="199" t="s">
        <v>371</v>
      </c>
      <c r="F26" s="199" t="s">
        <v>129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2011-11-03T18:53:53Z</dcterms:created>
  <dc:creator>vic breedlove</dc:creator>
</cp:coreProperties>
</file>