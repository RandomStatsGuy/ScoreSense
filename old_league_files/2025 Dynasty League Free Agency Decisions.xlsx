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" sheetId="1" r:id="rId5"/>
    <sheet state="visible" name="Draft Results" sheetId="2" r:id="rId6"/>
    <sheet state="visible" name="Aaron D" sheetId="3" r:id="rId7"/>
    <sheet state="visible" name="Andrew M" sheetId="4" r:id="rId8"/>
    <sheet state="visible" name="Caleb K" sheetId="5" r:id="rId9"/>
    <sheet state="visible" name="Chris G" sheetId="6" r:id="rId10"/>
    <sheet state="visible" name="Colby L" sheetId="7" r:id="rId11"/>
    <sheet state="visible" name="Dawson O" sheetId="8" r:id="rId12"/>
    <sheet state="visible" name="Josh C" sheetId="9" r:id="rId13"/>
    <sheet state="visible" name="Justin P" sheetId="10" r:id="rId14"/>
    <sheet state="visible" name="Nick F" sheetId="11" r:id="rId15"/>
    <sheet state="visible" name="Stephen P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tc={1fa32265-9669-4578-b44f-23bc476ee69d}</author>
    <author>tc={3afb457e-dc30-4c25-8cf5-3d09791cd33d}</author>
    <author>tc={ba6738c9-d2da-4fc4-ad6a-6d85d3158122}</author>
    <author>tc={bd64bacc-8f66-40e5-81ef-9229924602b2}</author>
    <author>tc={e5ae7b2f-22df-46ef-a033-3853a2154bc9}</author>
  </authors>
  <commentList>
    <comment authorId="0" xr:uid="{1fa32265-9669-4578-b44f-23bc476ee69d}" ref="C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Midseason cut
</t>
      </text>
    </comment>
    <comment authorId="1" xr:uid="{3afb457e-dc30-4c25-8cf5-3d09791cd33d}" ref="C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Midseason Cut
</t>
      </text>
    </comment>
    <comment authorId="2" xr:uid="{ba6738c9-d2da-4fc4-ad6a-6d85d3158122}" ref="C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Never ended up on my team - salary negotiations fell through
</t>
      </text>
    </comment>
    <comment authorId="3" xr:uid="{bd64bacc-8f66-40e5-81ef-9229924602b2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Midseason cut
</t>
      </text>
    </comment>
    <comment authorId="4" xr:uid="{e5ae7b2f-22df-46ef-a033-3853a2154bc9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Midseason Cut
</t>
      </text>
    </comment>
  </commentList>
</comments>
</file>

<file path=xl/sharedStrings.xml><?xml version="1.0" encoding="utf-8"?>
<sst xmlns="http://schemas.openxmlformats.org/spreadsheetml/2006/main" count="1129" uniqueCount="257">
  <si>
    <t>Aaron D</t>
  </si>
  <si>
    <t>Andrew M</t>
  </si>
  <si>
    <t>Caleb K</t>
  </si>
  <si>
    <t>Chris G</t>
  </si>
  <si>
    <t>Colby L</t>
  </si>
  <si>
    <t>Dawson O</t>
  </si>
  <si>
    <t>Josh C</t>
  </si>
  <si>
    <t>Justin P</t>
  </si>
  <si>
    <t>Nick F</t>
  </si>
  <si>
    <t>Stephen P</t>
  </si>
  <si>
    <t>Pos</t>
  </si>
  <si>
    <t>Player</t>
  </si>
  <si>
    <t>$</t>
  </si>
  <si>
    <t>QB</t>
  </si>
  <si>
    <t>T. Tagovailoa</t>
  </si>
  <si>
    <t>L. Jackson</t>
  </si>
  <si>
    <t>J. Daniels</t>
  </si>
  <si>
    <t>J. Love</t>
  </si>
  <si>
    <t>P. Mahomes</t>
  </si>
  <si>
    <t>B. Nix</t>
  </si>
  <si>
    <t>J. Herbert</t>
  </si>
  <si>
    <t>D. Maye</t>
  </si>
  <si>
    <t>J. Hurts</t>
  </si>
  <si>
    <t>J. Allen</t>
  </si>
  <si>
    <t>CJ Stroud</t>
  </si>
  <si>
    <t>K. Murray</t>
  </si>
  <si>
    <t>M. Penix Jr</t>
  </si>
  <si>
    <t>C. Williams</t>
  </si>
  <si>
    <t>B. Mayfield</t>
  </si>
  <si>
    <t>J. Burrow</t>
  </si>
  <si>
    <t>J. Goff</t>
  </si>
  <si>
    <t>J. Fields</t>
  </si>
  <si>
    <t>B. Young</t>
  </si>
  <si>
    <t>D. Prescott</t>
  </si>
  <si>
    <t>T. Lawrence</t>
  </si>
  <si>
    <t>C. Ward</t>
  </si>
  <si>
    <t>RB</t>
  </si>
  <si>
    <t>B. Hall</t>
  </si>
  <si>
    <t>Bijan Robinson</t>
  </si>
  <si>
    <t>J. Taylor</t>
  </si>
  <si>
    <t>Jeanty</t>
  </si>
  <si>
    <t>Barkley</t>
  </si>
  <si>
    <t>K. Williams</t>
  </si>
  <si>
    <t>B. Irving</t>
  </si>
  <si>
    <t>A. Kamara</t>
  </si>
  <si>
    <t>C. Hubbard</t>
  </si>
  <si>
    <t>J. Gibbs</t>
  </si>
  <si>
    <t>T. Etienne</t>
  </si>
  <si>
    <t>K. Walker</t>
  </si>
  <si>
    <t>T. Henderson</t>
  </si>
  <si>
    <t>Hampton</t>
  </si>
  <si>
    <t>J. Cook</t>
  </si>
  <si>
    <t>J. Jacobs</t>
  </si>
  <si>
    <t>D. Henry</t>
  </si>
  <si>
    <t>Z. Charbonnet</t>
  </si>
  <si>
    <t>D. Montgomery</t>
  </si>
  <si>
    <t>CMC</t>
  </si>
  <si>
    <t>C. Skattebo</t>
  </si>
  <si>
    <t>T. Pollard</t>
  </si>
  <si>
    <t>JK Dobbins</t>
  </si>
  <si>
    <t>Croskey-Merritt</t>
  </si>
  <si>
    <t>I. Pacheco</t>
  </si>
  <si>
    <t>R. Stevenson</t>
  </si>
  <si>
    <t>Q. Judkins</t>
  </si>
  <si>
    <t>K. Johnson</t>
  </si>
  <si>
    <t>C. Brown</t>
  </si>
  <si>
    <t>Jor. James</t>
  </si>
  <si>
    <t>J. Mason</t>
  </si>
  <si>
    <t>D. Achane</t>
  </si>
  <si>
    <t>B. Corum</t>
  </si>
  <si>
    <t>J. Blue</t>
  </si>
  <si>
    <t>J. Mixon</t>
  </si>
  <si>
    <t>RJ Harvey</t>
  </si>
  <si>
    <t>A. Jones</t>
  </si>
  <si>
    <t>D. Swift</t>
  </si>
  <si>
    <t>T. Bigsby</t>
  </si>
  <si>
    <t>O. Gordon</t>
  </si>
  <si>
    <t>D. Sampson</t>
  </si>
  <si>
    <t>T. Allgeier</t>
  </si>
  <si>
    <t>R. Mostert</t>
  </si>
  <si>
    <t>T. Benson</t>
  </si>
  <si>
    <t>D. Singletary</t>
  </si>
  <si>
    <t>B. Robinson</t>
  </si>
  <si>
    <t>K. Monongai</t>
  </si>
  <si>
    <t>WR</t>
  </si>
  <si>
    <t>T. Hill</t>
  </si>
  <si>
    <t>JSN</t>
  </si>
  <si>
    <t>DK Metcalf</t>
  </si>
  <si>
    <t>C. Lamb</t>
  </si>
  <si>
    <t>P. Nacua</t>
  </si>
  <si>
    <t>J. Chase</t>
  </si>
  <si>
    <t>J. Jefferson</t>
  </si>
  <si>
    <t>DJ Moore</t>
  </si>
  <si>
    <t>AJ Brown</t>
  </si>
  <si>
    <t>T. McMillan</t>
  </si>
  <si>
    <t>J. Waddle</t>
  </si>
  <si>
    <t>G. Wilson</t>
  </si>
  <si>
    <t>Jame. Williams</t>
  </si>
  <si>
    <t>G. Pickens</t>
  </si>
  <si>
    <t>T. Hunter</t>
  </si>
  <si>
    <t>D. Smith</t>
  </si>
  <si>
    <t>M. Evans</t>
  </si>
  <si>
    <t>X. Worthy</t>
  </si>
  <si>
    <t>M. Harrison Jr</t>
  </si>
  <si>
    <t>T. Higgins</t>
  </si>
  <si>
    <t>R. Odunze</t>
  </si>
  <si>
    <t>D. Mooney</t>
  </si>
  <si>
    <t>M. Nabers</t>
  </si>
  <si>
    <t>M. Golden</t>
  </si>
  <si>
    <t>T. McLaurin</t>
  </si>
  <si>
    <t>J. Jeudy</t>
  </si>
  <si>
    <t>J. Palmer</t>
  </si>
  <si>
    <t>S. Diggs</t>
  </si>
  <si>
    <t>D. London</t>
  </si>
  <si>
    <t>AR. St Brown</t>
  </si>
  <si>
    <t>N. Collins</t>
  </si>
  <si>
    <t>X. Legette</t>
  </si>
  <si>
    <t>J. Meyers</t>
  </si>
  <si>
    <t>D. Adams</t>
  </si>
  <si>
    <t>L. McConkey</t>
  </si>
  <si>
    <t>K. Coleman</t>
  </si>
  <si>
    <t>C. Kupp</t>
  </si>
  <si>
    <t>Z. Flowers</t>
  </si>
  <si>
    <t>E. Egbuka</t>
  </si>
  <si>
    <t>L. Burden</t>
  </si>
  <si>
    <t>B. Thomas</t>
  </si>
  <si>
    <t>D. Douglas</t>
  </si>
  <si>
    <t>J. Addison</t>
  </si>
  <si>
    <t>K. Shakir</t>
  </si>
  <si>
    <t>C. Ridley</t>
  </si>
  <si>
    <t>C. Olave</t>
  </si>
  <si>
    <t>R. Pearsall</t>
  </si>
  <si>
    <t>K. Allen</t>
  </si>
  <si>
    <t>B. Aiyuk</t>
  </si>
  <si>
    <t>I. Teslaa</t>
  </si>
  <si>
    <t>J. Reed</t>
  </si>
  <si>
    <t>Kyle Williams</t>
  </si>
  <si>
    <t>C. Sutton</t>
  </si>
  <si>
    <t>R. Rice</t>
  </si>
  <si>
    <t>Tre Harris</t>
  </si>
  <si>
    <t>TE</t>
  </si>
  <si>
    <t>TJ Hockenson</t>
  </si>
  <si>
    <t>B. Strange</t>
  </si>
  <si>
    <t>K. Pitts</t>
  </si>
  <si>
    <t>T. McBride</t>
  </si>
  <si>
    <t>T. Warren</t>
  </si>
  <si>
    <t>G. Kittle</t>
  </si>
  <si>
    <t>T. Kraft</t>
  </si>
  <si>
    <t>B. Bowers</t>
  </si>
  <si>
    <t>D. Njoku</t>
  </si>
  <si>
    <t>T. Kelce</t>
  </si>
  <si>
    <t>I. Likely</t>
  </si>
  <si>
    <t>D. Kincaid</t>
  </si>
  <si>
    <t>C. Loveland</t>
  </si>
  <si>
    <t>M. Andrews</t>
  </si>
  <si>
    <t>S. LaPorta</t>
  </si>
  <si>
    <t>E. Engram</t>
  </si>
  <si>
    <t>J. Ferguson</t>
  </si>
  <si>
    <t>AJ Barner</t>
  </si>
  <si>
    <t>D. Goedert</t>
  </si>
  <si>
    <t>K</t>
  </si>
  <si>
    <t>C. Little</t>
  </si>
  <si>
    <t>Carlson</t>
  </si>
  <si>
    <t>K. Fairbairn</t>
  </si>
  <si>
    <t>Aubrey</t>
  </si>
  <si>
    <t>Dicker</t>
  </si>
  <si>
    <t>DST</t>
  </si>
  <si>
    <t>Dolphins</t>
  </si>
  <si>
    <t>Eagles</t>
  </si>
  <si>
    <t>Broncos</t>
  </si>
  <si>
    <t>Ravens</t>
  </si>
  <si>
    <t>Jets</t>
  </si>
  <si>
    <t>49ers</t>
  </si>
  <si>
    <t>CUT</t>
  </si>
  <si>
    <t>J. Wright</t>
  </si>
  <si>
    <t>Z. White</t>
  </si>
  <si>
    <t>J. Brooks</t>
  </si>
  <si>
    <t>T. Dell</t>
  </si>
  <si>
    <t>Salary Cap</t>
  </si>
  <si>
    <t>Total Salary</t>
  </si>
  <si>
    <t>Budget</t>
  </si>
  <si>
    <t>N. Harris</t>
  </si>
  <si>
    <t>Amount</t>
  </si>
  <si>
    <t>Winner</t>
  </si>
  <si>
    <t>S. Barkley</t>
  </si>
  <si>
    <t>Colby</t>
  </si>
  <si>
    <t>Chris</t>
  </si>
  <si>
    <t>Irving</t>
  </si>
  <si>
    <t>Carter</t>
  </si>
  <si>
    <t>Andrew</t>
  </si>
  <si>
    <t>Stephen</t>
  </si>
  <si>
    <t>McMillan</t>
  </si>
  <si>
    <t>Caleb</t>
  </si>
  <si>
    <t>Nick</t>
  </si>
  <si>
    <t>Dawson</t>
  </si>
  <si>
    <t>Justin</t>
  </si>
  <si>
    <t>Chuba Hubbard</t>
  </si>
  <si>
    <t>J. Conner</t>
  </si>
  <si>
    <t>Aaron</t>
  </si>
  <si>
    <t>JCM</t>
  </si>
  <si>
    <t>Penix Jr</t>
  </si>
  <si>
    <t>2024 Salary</t>
  </si>
  <si>
    <t>Status</t>
  </si>
  <si>
    <t>2025 Salary</t>
  </si>
  <si>
    <t>2026 Salary</t>
  </si>
  <si>
    <t>2027 Salary</t>
  </si>
  <si>
    <t>2028 Salary</t>
  </si>
  <si>
    <t>NA 2026</t>
  </si>
  <si>
    <t>C. McLaughlin</t>
  </si>
  <si>
    <t>Salary:</t>
  </si>
  <si>
    <t>Budget:</t>
  </si>
  <si>
    <t>Available:</t>
  </si>
  <si>
    <t>T. Spears</t>
  </si>
  <si>
    <t>A. Estime</t>
  </si>
  <si>
    <t>E. McPherson</t>
  </si>
  <si>
    <t>Did Andrew cut him last year?</t>
  </si>
  <si>
    <t>Bills</t>
  </si>
  <si>
    <t>A. Richardson</t>
  </si>
  <si>
    <t>Ros. Johnson</t>
  </si>
  <si>
    <t>D. Carlsen</t>
  </si>
  <si>
    <t>Raiders</t>
  </si>
  <si>
    <t>W. Levis</t>
  </si>
  <si>
    <t>Rac. White</t>
  </si>
  <si>
    <t>K. Miller</t>
  </si>
  <si>
    <t>J. Myers</t>
  </si>
  <si>
    <t>Cowboys</t>
  </si>
  <si>
    <t>R. White</t>
  </si>
  <si>
    <t>G. Smith</t>
  </si>
  <si>
    <t>J. Ford</t>
  </si>
  <si>
    <t>Not on Sleeper roster - ask him</t>
  </si>
  <si>
    <t>C. Godwin</t>
  </si>
  <si>
    <t>A. Cooper</t>
  </si>
  <si>
    <t>M. Brown</t>
  </si>
  <si>
    <t>C. Kmet</t>
  </si>
  <si>
    <t>B. Aubrey</t>
  </si>
  <si>
    <t>D. Hopkins</t>
  </si>
  <si>
    <t>1/2/2025 ON CALEB TEAM</t>
  </si>
  <si>
    <t>J. Tucker</t>
  </si>
  <si>
    <t>CUT NO PENALTY</t>
  </si>
  <si>
    <t>D. Cook</t>
  </si>
  <si>
    <t>T. Lockett</t>
  </si>
  <si>
    <t>A. Rodgers</t>
  </si>
  <si>
    <t>Jav. Williams</t>
  </si>
  <si>
    <t>J. Smith-Njigba</t>
  </si>
  <si>
    <t>Ras. Rice</t>
  </si>
  <si>
    <t>H. Butker</t>
  </si>
  <si>
    <t>T. Bass</t>
  </si>
  <si>
    <t>Commanders</t>
  </si>
  <si>
    <t>J. Warren</t>
  </si>
  <si>
    <t>D'tae. Johnson</t>
  </si>
  <si>
    <t>R. Shaheed</t>
  </si>
  <si>
    <t>L. Musgraves</t>
  </si>
  <si>
    <t>G. Everett</t>
  </si>
  <si>
    <t>J. Sanders</t>
  </si>
  <si>
    <t>C. Brooks</t>
  </si>
  <si>
    <t>S. Tucker</t>
  </si>
  <si>
    <t>C. Dicker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</si>
</sst>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7F7F7F"/>
      <name val="Arial"/>
    </font>
    <font>
      <color rgb="FF999999"/>
      <name val="Arial"/>
    </font>
    <font>
      <color rgb="FFFF0000"/>
      <name val="Arial"/>
    </font>
    <font>
      <color rgb="FF000000"/>
      <name val="Arial"/>
    </font>
    <font>
      <color rgb="FFCCCCCC"/>
      <name val="Arial"/>
      <scheme val="minor"/>
    </font>
    <font>
      <color rgb="FFCCCCCC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rgb="FFFFFF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24">
    <border/>
    <border>
      <bottom style="thin">
        <color rgb="FF000000"/>
      </bottom>
    </border>
    <border>
      <left style="thin">
        <color rgb="FF000000"/>
      </left>
      <right style="thin">
        <color rgb="FFBFBFBF"/>
      </right>
      <bottom style="thin">
        <color rgb="FF999999"/>
      </bottom>
    </border>
    <border>
      <right style="thin">
        <color rgb="FFBFBFBF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</border>
    <border>
      <right style="thin">
        <color rgb="FF999999"/>
      </right>
    </border>
    <border>
      <right style="thin">
        <color rgb="FF000000"/>
      </right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999999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999999"/>
      </right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vertical="bottom"/>
    </xf>
    <xf borderId="1" fillId="2" fontId="2" numFmtId="1" xfId="0" applyAlignment="1" applyBorder="1" applyFill="1" applyFont="1" applyNumberFormat="1">
      <alignment horizontal="right" vertical="bottom"/>
    </xf>
    <xf borderId="1" fillId="3" fontId="1" numFmtId="1" xfId="0" applyAlignment="1" applyBorder="1" applyFill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vertical="bottom"/>
    </xf>
    <xf borderId="0" fillId="2" fontId="2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2" fillId="4" fontId="3" numFmtId="1" xfId="0" applyAlignment="1" applyBorder="1" applyFill="1" applyFont="1" applyNumberFormat="1">
      <alignment horizontal="center" vertical="bottom"/>
    </xf>
    <xf borderId="3" fillId="4" fontId="3" numFmtId="1" xfId="0" applyAlignment="1" applyBorder="1" applyFont="1" applyNumberFormat="1">
      <alignment horizontal="right" vertical="bottom"/>
    </xf>
    <xf borderId="3" fillId="4" fontId="3" numFmtId="1" xfId="0" applyAlignment="1" applyBorder="1" applyFont="1" applyNumberFormat="1">
      <alignment horizontal="center" vertical="bottom"/>
    </xf>
    <xf borderId="4" fillId="4" fontId="3" numFmtId="1" xfId="0" applyAlignment="1" applyBorder="1" applyFont="1" applyNumberFormat="1">
      <alignment horizontal="center" vertical="bottom"/>
    </xf>
    <xf borderId="5" fillId="4" fontId="3" numFmtId="1" xfId="0" applyAlignment="1" applyBorder="1" applyFont="1" applyNumberFormat="1">
      <alignment horizontal="center" vertical="bottom"/>
    </xf>
    <xf borderId="6" fillId="4" fontId="3" numFmtId="1" xfId="0" applyAlignment="1" applyBorder="1" applyFont="1" applyNumberFormat="1">
      <alignment horizontal="right" vertical="bottom"/>
    </xf>
    <xf borderId="7" fillId="4" fontId="3" numFmtId="1" xfId="0" applyAlignment="1" applyBorder="1" applyFont="1" applyNumberFormat="1">
      <alignment horizontal="center" vertical="bottom"/>
    </xf>
    <xf borderId="8" fillId="4" fontId="3" numFmtId="1" xfId="0" applyAlignment="1" applyBorder="1" applyFont="1" applyNumberFormat="1">
      <alignment horizontal="center" vertical="bottom"/>
    </xf>
    <xf borderId="9" fillId="0" fontId="4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10" fillId="0" fontId="1" numFmtId="0" xfId="0" applyAlignment="1" applyBorder="1" applyFont="1">
      <alignment horizontal="center" readingOrder="0" vertical="bottom"/>
    </xf>
    <xf borderId="1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readingOrder="0" vertical="bottom"/>
    </xf>
    <xf borderId="10" fillId="0" fontId="5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readingOrder="0" vertical="bottom"/>
    </xf>
    <xf borderId="12" fillId="0" fontId="4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readingOrder="0" vertical="bottom"/>
    </xf>
    <xf borderId="13" fillId="0" fontId="1" numFmtId="0" xfId="0" applyAlignment="1" applyBorder="1" applyFont="1">
      <alignment vertical="bottom"/>
    </xf>
    <xf borderId="4" fillId="0" fontId="4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vertical="bottom"/>
    </xf>
    <xf borderId="13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10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10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10" fillId="0" fontId="6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left" readingOrder="0" vertical="bottom"/>
    </xf>
    <xf borderId="14" fillId="0" fontId="4" numFmtId="0" xfId="0" applyAlignment="1" applyBorder="1" applyFont="1">
      <alignment horizontal="center" vertical="bottom"/>
    </xf>
    <xf borderId="15" fillId="0" fontId="1" numFmtId="0" xfId="0" applyAlignment="1" applyBorder="1" applyFont="1">
      <alignment readingOrder="0" vertical="bottom"/>
    </xf>
    <xf borderId="15" fillId="0" fontId="1" numFmtId="0" xfId="0" applyAlignment="1" applyBorder="1" applyFont="1">
      <alignment horizontal="center" readingOrder="0" vertical="bottom"/>
    </xf>
    <xf borderId="16" fillId="0" fontId="5" numFmtId="0" xfId="0" applyAlignment="1" applyBorder="1" applyFont="1">
      <alignment readingOrder="0" vertical="bottom"/>
    </xf>
    <xf borderId="17" fillId="0" fontId="5" numFmtId="0" xfId="0" applyAlignment="1" applyBorder="1" applyFont="1">
      <alignment horizontal="center" readingOrder="0" vertical="bottom"/>
    </xf>
    <xf borderId="18" fillId="0" fontId="1" numFmtId="0" xfId="0" applyAlignment="1" applyBorder="1" applyFont="1">
      <alignment horizontal="center" readingOrder="0" vertical="bottom"/>
    </xf>
    <xf borderId="17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19" fillId="0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horizontal="center" readingOrder="0" vertical="bottom"/>
    </xf>
    <xf borderId="0" fillId="5" fontId="1" numFmtId="0" xfId="0" applyAlignment="1" applyFill="1" applyFont="1">
      <alignment readingOrder="0" vertical="bottom"/>
    </xf>
    <xf borderId="10" fillId="5" fontId="1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0" fillId="5" fontId="1" numFmtId="0" xfId="0" applyAlignment="1" applyBorder="1" applyFont="1">
      <alignment horizontal="center" vertical="bottom"/>
    </xf>
    <xf borderId="10" fillId="5" fontId="1" numFmtId="0" xfId="0" applyAlignment="1" applyBorder="1" applyFont="1">
      <alignment readingOrder="0" vertical="bottom"/>
    </xf>
    <xf borderId="10" fillId="5" fontId="1" numFmtId="0" xfId="0" applyAlignment="1" applyBorder="1" applyFont="1">
      <alignment vertical="bottom"/>
    </xf>
    <xf borderId="20" fillId="0" fontId="4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21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21" fillId="5" fontId="1" numFmtId="0" xfId="0" applyAlignment="1" applyBorder="1" applyFont="1">
      <alignment readingOrder="0" vertical="bottom"/>
    </xf>
    <xf borderId="21" fillId="5" fontId="1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7" numFmtId="0" xfId="0" applyFont="1"/>
    <xf borderId="0" fillId="0" fontId="8" numFmtId="1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16" fillId="0" fontId="1" numFmtId="0" xfId="0" applyAlignment="1" applyBorder="1" applyFont="1">
      <alignment readingOrder="0" vertical="bottom"/>
    </xf>
    <xf borderId="15" fillId="0" fontId="4" numFmtId="0" xfId="0" applyAlignment="1" applyBorder="1" applyFont="1">
      <alignment horizontal="right" readingOrder="0" vertical="bottom"/>
    </xf>
    <xf borderId="15" fillId="6" fontId="1" numFmtId="164" xfId="0" applyAlignment="1" applyBorder="1" applyFill="1" applyFont="1" applyNumberFormat="1">
      <alignment horizontal="right" readingOrder="0" vertical="bottom"/>
    </xf>
    <xf borderId="15" fillId="0" fontId="1" numFmtId="0" xfId="0" applyAlignment="1" applyBorder="1" applyFont="1">
      <alignment horizontal="right" readingOrder="0" vertical="bottom"/>
    </xf>
    <xf borderId="15" fillId="0" fontId="9" numFmtId="0" xfId="0" applyBorder="1" applyFont="1"/>
    <xf borderId="17" fillId="0" fontId="9" numFmtId="0" xfId="0" applyBorder="1" applyFont="1"/>
    <xf borderId="19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11" fillId="0" fontId="9" numFmtId="0" xfId="0" applyBorder="1" applyFont="1"/>
    <xf borderId="23" fillId="0" fontId="1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9" numFmtId="0" xfId="0" applyBorder="1" applyFont="1"/>
    <xf borderId="22" fillId="0" fontId="9" numFmtId="0" xfId="0" applyBorder="1" applyFont="1"/>
    <xf borderId="16" fillId="0" fontId="1" numFmtId="0" xfId="0" applyAlignment="1" applyBorder="1" applyFont="1">
      <alignment vertical="bottom"/>
    </xf>
    <xf borderId="15" fillId="0" fontId="1" numFmtId="164" xfId="0" applyAlignment="1" applyBorder="1" applyFont="1" applyNumberFormat="1">
      <alignment horizontal="right" readingOrder="0" vertical="bottom"/>
    </xf>
    <xf borderId="15" fillId="0" fontId="1" numFmtId="0" xfId="0" applyAlignment="1" applyBorder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19" fillId="0" fontId="1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0" fillId="6" fontId="1" numFmtId="164" xfId="0" applyAlignment="1" applyFont="1" applyNumberFormat="1">
      <alignment horizontal="right" readingOrder="0" vertical="bottom"/>
    </xf>
    <xf borderId="15" fillId="0" fontId="4" numFmtId="0" xfId="0" applyAlignment="1" applyBorder="1" applyFont="1">
      <alignment horizontal="right" vertical="bottom"/>
    </xf>
    <xf borderId="15" fillId="6" fontId="1" numFmtId="0" xfId="0" applyAlignment="1" applyBorder="1" applyFont="1">
      <alignment horizontal="right" vertical="bottom"/>
    </xf>
    <xf borderId="15" fillId="0" fontId="1" numFmtId="0" xfId="0" applyAlignment="1" applyBorder="1" applyFont="1">
      <alignment horizontal="right" vertical="bottom"/>
    </xf>
    <xf borderId="23" fillId="0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right" readingOrder="0" vertical="bottom"/>
    </xf>
    <xf borderId="15" fillId="6" fontId="1" numFmtId="0" xfId="0" applyAlignment="1" applyBorder="1" applyFont="1">
      <alignment horizontal="right" readingOrder="0" vertical="bottom"/>
    </xf>
    <xf borderId="0" fillId="0" fontId="4" numFmtId="0" xfId="0" applyAlignment="1" applyFont="1">
      <alignment vertical="bottom"/>
    </xf>
    <xf borderId="0" fillId="6" fontId="1" numFmtId="0" xfId="0" applyAlignment="1" applyFont="1">
      <alignment horizontal="right" readingOrder="0" vertical="bottom"/>
    </xf>
    <xf borderId="1" fillId="6" fontId="1" numFmtId="164" xfId="0" applyAlignment="1" applyBorder="1" applyFont="1" applyNumberFormat="1">
      <alignment horizontal="right" readingOrder="0" vertical="bottom"/>
    </xf>
    <xf borderId="1" fillId="6" fontId="1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5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wson Oquist" id="{e6048e60-8320-4953-bd68-33bdb758f3c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2" dT="2025-11-17T20:18:04.00" personId="{e6048e60-8320-4953-bd68-33bdb758f3c9}" id="{1fa32265-9669-4578-b44f-23bc476ee69d}" done="0">
    <x18tc:text xml:space="preserve">Midseason cut</x18tc:text>
  </x18tc:threadedComment>
  <x18tc:threadedComment ref="N9" dT="2025-11-17T20:58:02.00" personId="{e6048e60-8320-4953-bd68-33bdb758f3c9}" id="{bd64bacc-8f66-40e5-81ef-9229924602b2}" done="0">
    <x18tc:text xml:space="preserve">Midseason cut</x18tc:text>
  </x18tc:threadedComment>
  <x18tc:threadedComment ref="C40" dT="2025-11-17T20:18:19.00" personId="{e6048e60-8320-4953-bd68-33bdb758f3c9}" id="{3afb457e-dc30-4c25-8cf5-3d09791cd33d}" done="0">
    <x18tc:text xml:space="preserve">Midseason Cut</x18tc:text>
  </x18tc:threadedComment>
  <x18tc:threadedComment ref="N11" dT="2025-11-17T20:58:11.00" personId="{e6048e60-8320-4953-bd68-33bdb758f3c9}" id="{e5ae7b2f-22df-46ef-a033-3853a2154bc9}" done="0">
    <x18tc:text xml:space="preserve">Midseason Cut</x18tc:text>
  </x18tc:threadedComment>
  <x18tc:threadedComment ref="C48" dT="2025-11-17T20:17:40.00" personId="{e6048e60-8320-4953-bd68-33bdb758f3c9}" id="{ba6738c9-d2da-4fc4-ad6a-6d85d3158122}" done="0">
    <x18tc:text xml:space="preserve">Never ended up on my team - salary negotiations fell through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4" max="4" width="3.75"/>
    <col customWidth="1" min="6" max="6" width="3.75"/>
    <col customWidth="1" min="8" max="8" width="3.75"/>
    <col customWidth="1" min="10" max="10" width="3.75"/>
    <col customWidth="1" min="12" max="12" width="3.75"/>
    <col customWidth="1" min="13" max="13" width="4.38"/>
    <col customWidth="1" min="15" max="15" width="3.75"/>
    <col customWidth="1" min="17" max="17" width="3.75"/>
    <col customWidth="1" min="19" max="19" width="3.75"/>
    <col customWidth="1" min="21" max="21" width="3.75"/>
    <col customWidth="1" min="23" max="23" width="3.75"/>
    <col customWidth="1" min="24" max="24" width="4.38"/>
  </cols>
  <sheetData>
    <row r="2">
      <c r="B2" s="1"/>
      <c r="C2" s="2" t="s">
        <v>0</v>
      </c>
      <c r="D2" s="3"/>
      <c r="E2" s="2" t="s">
        <v>1</v>
      </c>
      <c r="F2" s="3"/>
      <c r="G2" s="2" t="s">
        <v>2</v>
      </c>
      <c r="H2" s="3"/>
      <c r="I2" s="2" t="s">
        <v>3</v>
      </c>
      <c r="J2" s="3"/>
      <c r="K2" s="2" t="s">
        <v>4</v>
      </c>
      <c r="L2" s="3"/>
      <c r="M2" s="1"/>
      <c r="N2" s="4" t="s">
        <v>5</v>
      </c>
      <c r="O2" s="5"/>
      <c r="P2" s="4" t="s">
        <v>6</v>
      </c>
      <c r="Q2" s="5"/>
      <c r="R2" s="6" t="s">
        <v>7</v>
      </c>
      <c r="S2" s="5"/>
      <c r="T2" s="6" t="s">
        <v>8</v>
      </c>
      <c r="U2" s="5"/>
      <c r="V2" s="6" t="s">
        <v>9</v>
      </c>
      <c r="W2" s="5"/>
      <c r="X2" s="7"/>
    </row>
    <row r="3">
      <c r="B3" s="8" t="s">
        <v>10</v>
      </c>
      <c r="C3" s="9" t="s">
        <v>11</v>
      </c>
      <c r="D3" s="10" t="s">
        <v>12</v>
      </c>
      <c r="E3" s="9" t="s">
        <v>11</v>
      </c>
      <c r="F3" s="11" t="s">
        <v>12</v>
      </c>
      <c r="G3" s="9" t="s">
        <v>11</v>
      </c>
      <c r="H3" s="11" t="s">
        <v>12</v>
      </c>
      <c r="I3" s="9" t="s">
        <v>11</v>
      </c>
      <c r="J3" s="11" t="s">
        <v>12</v>
      </c>
      <c r="K3" s="9" t="s">
        <v>11</v>
      </c>
      <c r="L3" s="11" t="s">
        <v>12</v>
      </c>
      <c r="M3" s="12" t="s">
        <v>10</v>
      </c>
      <c r="N3" s="13" t="s">
        <v>11</v>
      </c>
      <c r="O3" s="14" t="s">
        <v>12</v>
      </c>
      <c r="P3" s="13" t="s">
        <v>11</v>
      </c>
      <c r="Q3" s="14" t="s">
        <v>12</v>
      </c>
      <c r="R3" s="13" t="s">
        <v>11</v>
      </c>
      <c r="S3" s="14" t="s">
        <v>12</v>
      </c>
      <c r="T3" s="13" t="s">
        <v>11</v>
      </c>
      <c r="U3" s="14" t="s">
        <v>12</v>
      </c>
      <c r="V3" s="13" t="s">
        <v>11</v>
      </c>
      <c r="W3" s="14" t="s">
        <v>12</v>
      </c>
      <c r="X3" s="15" t="s">
        <v>10</v>
      </c>
    </row>
    <row r="4">
      <c r="B4" s="16" t="s">
        <v>13</v>
      </c>
      <c r="C4" s="17" t="s">
        <v>14</v>
      </c>
      <c r="D4" s="18">
        <v>10.0</v>
      </c>
      <c r="E4" s="17" t="s">
        <v>15</v>
      </c>
      <c r="F4" s="18">
        <v>23.0</v>
      </c>
      <c r="G4" s="17" t="s">
        <v>16</v>
      </c>
      <c r="H4" s="18">
        <v>11.0</v>
      </c>
      <c r="I4" s="17" t="s">
        <v>17</v>
      </c>
      <c r="J4" s="18">
        <v>11.0</v>
      </c>
      <c r="K4" s="17" t="s">
        <v>18</v>
      </c>
      <c r="L4" s="18">
        <v>11.0</v>
      </c>
      <c r="M4" s="19" t="s">
        <v>13</v>
      </c>
      <c r="N4" s="17" t="s">
        <v>19</v>
      </c>
      <c r="O4" s="18">
        <v>10.0</v>
      </c>
      <c r="P4" s="17" t="s">
        <v>20</v>
      </c>
      <c r="Q4" s="18">
        <v>23.0</v>
      </c>
      <c r="R4" s="17" t="s">
        <v>21</v>
      </c>
      <c r="S4" s="18">
        <v>5.0</v>
      </c>
      <c r="T4" s="17" t="s">
        <v>22</v>
      </c>
      <c r="U4" s="18">
        <v>17.0</v>
      </c>
      <c r="V4" s="17" t="s">
        <v>23</v>
      </c>
      <c r="W4" s="18">
        <v>23.0</v>
      </c>
      <c r="X4" s="19" t="s">
        <v>13</v>
      </c>
    </row>
    <row r="5">
      <c r="B5" s="16" t="s">
        <v>13</v>
      </c>
      <c r="C5" s="17" t="s">
        <v>24</v>
      </c>
      <c r="D5" s="18">
        <v>7.0</v>
      </c>
      <c r="E5" s="17" t="s">
        <v>25</v>
      </c>
      <c r="F5" s="18">
        <v>11.0</v>
      </c>
      <c r="G5" s="17" t="s">
        <v>26</v>
      </c>
      <c r="H5" s="18">
        <v>4.0</v>
      </c>
      <c r="I5" s="17" t="s">
        <v>27</v>
      </c>
      <c r="J5" s="18">
        <v>3.0</v>
      </c>
      <c r="K5" s="20" t="s">
        <v>28</v>
      </c>
      <c r="L5" s="21">
        <v>4.0</v>
      </c>
      <c r="M5" s="19" t="s">
        <v>13</v>
      </c>
      <c r="N5" s="17"/>
      <c r="O5" s="22">
        <v>1.0</v>
      </c>
      <c r="P5" s="17" t="s">
        <v>29</v>
      </c>
      <c r="Q5" s="18">
        <v>15.0</v>
      </c>
      <c r="R5" s="17" t="s">
        <v>30</v>
      </c>
      <c r="S5" s="18">
        <v>3.0</v>
      </c>
      <c r="T5" s="20" t="s">
        <v>31</v>
      </c>
      <c r="U5" s="21">
        <v>2.0</v>
      </c>
      <c r="V5" s="17"/>
      <c r="W5" s="22">
        <v>1.0</v>
      </c>
      <c r="X5" s="19" t="s">
        <v>13</v>
      </c>
    </row>
    <row r="6">
      <c r="B6" s="23" t="s">
        <v>13</v>
      </c>
      <c r="C6" s="24" t="s">
        <v>32</v>
      </c>
      <c r="D6" s="25">
        <v>2.0</v>
      </c>
      <c r="E6" s="26" t="s">
        <v>33</v>
      </c>
      <c r="F6" s="25">
        <v>1.0</v>
      </c>
      <c r="G6" s="27"/>
      <c r="H6" s="28">
        <v>1.0</v>
      </c>
      <c r="I6" s="26" t="s">
        <v>34</v>
      </c>
      <c r="J6" s="25">
        <v>1.0</v>
      </c>
      <c r="K6" s="27"/>
      <c r="L6" s="28">
        <v>1.0</v>
      </c>
      <c r="M6" s="29" t="s">
        <v>13</v>
      </c>
      <c r="N6" s="27"/>
      <c r="O6" s="28">
        <v>1.0</v>
      </c>
      <c r="P6" s="27"/>
      <c r="Q6" s="28">
        <v>1.0</v>
      </c>
      <c r="R6" s="30" t="s">
        <v>35</v>
      </c>
      <c r="S6" s="31">
        <v>3.0</v>
      </c>
      <c r="T6" s="30"/>
      <c r="U6" s="28">
        <v>1.0</v>
      </c>
      <c r="V6" s="30"/>
      <c r="W6" s="28">
        <v>1.0</v>
      </c>
      <c r="X6" s="29" t="s">
        <v>13</v>
      </c>
    </row>
    <row r="7">
      <c r="B7" s="16" t="s">
        <v>36</v>
      </c>
      <c r="C7" s="32" t="s">
        <v>37</v>
      </c>
      <c r="D7" s="18">
        <v>32.0</v>
      </c>
      <c r="E7" s="17" t="s">
        <v>38</v>
      </c>
      <c r="F7" s="18">
        <v>37.0</v>
      </c>
      <c r="G7" s="17" t="s">
        <v>39</v>
      </c>
      <c r="H7" s="18">
        <v>35.0</v>
      </c>
      <c r="I7" s="17" t="s">
        <v>40</v>
      </c>
      <c r="J7" s="18">
        <v>34.0</v>
      </c>
      <c r="K7" s="17" t="s">
        <v>41</v>
      </c>
      <c r="L7" s="18">
        <v>37.0</v>
      </c>
      <c r="M7" s="19" t="s">
        <v>36</v>
      </c>
      <c r="N7" s="17" t="s">
        <v>42</v>
      </c>
      <c r="O7" s="18">
        <v>35.0</v>
      </c>
      <c r="P7" s="17" t="s">
        <v>43</v>
      </c>
      <c r="Q7" s="18">
        <v>33.0</v>
      </c>
      <c r="R7" s="17" t="s">
        <v>44</v>
      </c>
      <c r="S7" s="18">
        <v>21.0</v>
      </c>
      <c r="T7" s="17" t="s">
        <v>45</v>
      </c>
      <c r="U7" s="18">
        <v>19.0</v>
      </c>
      <c r="V7" s="17" t="s">
        <v>46</v>
      </c>
      <c r="W7" s="18">
        <v>35.0</v>
      </c>
      <c r="X7" s="19" t="s">
        <v>36</v>
      </c>
    </row>
    <row r="8">
      <c r="B8" s="16" t="s">
        <v>36</v>
      </c>
      <c r="C8" s="17" t="s">
        <v>47</v>
      </c>
      <c r="D8" s="18">
        <v>15.0</v>
      </c>
      <c r="E8" s="17" t="s">
        <v>48</v>
      </c>
      <c r="F8" s="18">
        <v>21.0</v>
      </c>
      <c r="G8" s="17" t="s">
        <v>49</v>
      </c>
      <c r="H8" s="18">
        <v>29.0</v>
      </c>
      <c r="I8" s="17" t="s">
        <v>50</v>
      </c>
      <c r="J8" s="18">
        <v>25.0</v>
      </c>
      <c r="K8" s="17" t="s">
        <v>51</v>
      </c>
      <c r="L8" s="18">
        <v>27.0</v>
      </c>
      <c r="M8" s="19" t="s">
        <v>36</v>
      </c>
      <c r="N8" s="17" t="s">
        <v>52</v>
      </c>
      <c r="O8" s="18">
        <v>33.0</v>
      </c>
      <c r="P8" s="17" t="s">
        <v>53</v>
      </c>
      <c r="Q8" s="18">
        <v>21.0</v>
      </c>
      <c r="R8" s="17" t="s">
        <v>54</v>
      </c>
      <c r="S8" s="18">
        <v>11.0</v>
      </c>
      <c r="T8" s="17" t="s">
        <v>55</v>
      </c>
      <c r="U8" s="18">
        <v>12.0</v>
      </c>
      <c r="V8" s="17" t="s">
        <v>56</v>
      </c>
      <c r="W8" s="18">
        <v>32.0</v>
      </c>
      <c r="X8" s="19" t="s">
        <v>36</v>
      </c>
    </row>
    <row r="9">
      <c r="B9" s="16" t="s">
        <v>36</v>
      </c>
      <c r="C9" s="17" t="s">
        <v>57</v>
      </c>
      <c r="D9" s="18">
        <v>9.0</v>
      </c>
      <c r="E9" s="17" t="s">
        <v>58</v>
      </c>
      <c r="F9" s="18">
        <v>15.0</v>
      </c>
      <c r="G9" s="17" t="s">
        <v>59</v>
      </c>
      <c r="H9" s="18">
        <v>16.0</v>
      </c>
      <c r="I9" s="17" t="s">
        <v>60</v>
      </c>
      <c r="J9" s="18">
        <v>9.0</v>
      </c>
      <c r="K9" s="17" t="s">
        <v>61</v>
      </c>
      <c r="L9" s="18">
        <v>19.0</v>
      </c>
      <c r="M9" s="19" t="s">
        <v>36</v>
      </c>
      <c r="N9" s="17" t="s">
        <v>62</v>
      </c>
      <c r="O9" s="18">
        <v>15.0</v>
      </c>
      <c r="P9" s="17" t="s">
        <v>63</v>
      </c>
      <c r="Q9" s="18">
        <v>7.0</v>
      </c>
      <c r="R9" s="17" t="s">
        <v>64</v>
      </c>
      <c r="S9" s="18">
        <v>10.0</v>
      </c>
      <c r="T9" s="17" t="s">
        <v>65</v>
      </c>
      <c r="U9" s="18">
        <v>8.0</v>
      </c>
      <c r="V9" s="20" t="s">
        <v>66</v>
      </c>
      <c r="W9" s="21">
        <v>1.0</v>
      </c>
      <c r="X9" s="19" t="s">
        <v>36</v>
      </c>
    </row>
    <row r="10">
      <c r="B10" s="16" t="s">
        <v>36</v>
      </c>
      <c r="C10" s="17" t="s">
        <v>67</v>
      </c>
      <c r="D10" s="18">
        <v>5.0</v>
      </c>
      <c r="E10" s="17" t="s">
        <v>68</v>
      </c>
      <c r="F10" s="18">
        <v>10.0</v>
      </c>
      <c r="G10" s="17" t="s">
        <v>69</v>
      </c>
      <c r="H10" s="18">
        <v>7.0</v>
      </c>
      <c r="I10" s="17" t="s">
        <v>70</v>
      </c>
      <c r="J10" s="18">
        <v>4.0</v>
      </c>
      <c r="K10" s="17" t="s">
        <v>71</v>
      </c>
      <c r="L10" s="33">
        <v>13.0</v>
      </c>
      <c r="M10" s="19" t="s">
        <v>36</v>
      </c>
      <c r="N10" s="17" t="s">
        <v>72</v>
      </c>
      <c r="O10" s="34">
        <v>14.0</v>
      </c>
      <c r="P10" s="17" t="s">
        <v>73</v>
      </c>
      <c r="Q10" s="34">
        <v>6.0</v>
      </c>
      <c r="R10" s="17" t="s">
        <v>74</v>
      </c>
      <c r="S10" s="18">
        <v>7.0</v>
      </c>
      <c r="T10" s="17" t="s">
        <v>75</v>
      </c>
      <c r="U10" s="18">
        <v>8.0</v>
      </c>
      <c r="V10" s="17"/>
      <c r="W10" s="22">
        <v>1.0</v>
      </c>
      <c r="X10" s="19" t="s">
        <v>36</v>
      </c>
    </row>
    <row r="11">
      <c r="B11" s="16" t="s">
        <v>36</v>
      </c>
      <c r="C11" s="32"/>
      <c r="D11" s="22">
        <v>1.0</v>
      </c>
      <c r="E11" s="20" t="s">
        <v>76</v>
      </c>
      <c r="F11" s="21">
        <v>2.0</v>
      </c>
      <c r="G11" s="20" t="s">
        <v>77</v>
      </c>
      <c r="H11" s="21">
        <v>5.0</v>
      </c>
      <c r="I11" s="17" t="s">
        <v>78</v>
      </c>
      <c r="J11" s="18">
        <v>2.0</v>
      </c>
      <c r="K11" s="35"/>
      <c r="L11" s="36">
        <v>1.0</v>
      </c>
      <c r="M11" s="19" t="s">
        <v>36</v>
      </c>
      <c r="N11" s="17" t="s">
        <v>79</v>
      </c>
      <c r="O11" s="18">
        <v>10.0</v>
      </c>
      <c r="P11" s="17" t="s">
        <v>80</v>
      </c>
      <c r="Q11" s="18">
        <v>5.0</v>
      </c>
      <c r="R11" s="17" t="s">
        <v>81</v>
      </c>
      <c r="S11" s="18">
        <v>4.0</v>
      </c>
      <c r="T11" s="17"/>
      <c r="U11" s="22">
        <v>1.0</v>
      </c>
      <c r="V11" s="17"/>
      <c r="W11" s="22">
        <v>1.0</v>
      </c>
      <c r="X11" s="19" t="s">
        <v>36</v>
      </c>
    </row>
    <row r="12">
      <c r="B12" s="23" t="s">
        <v>36</v>
      </c>
      <c r="C12" s="27"/>
      <c r="D12" s="28">
        <v>1.0</v>
      </c>
      <c r="E12" s="26" t="s">
        <v>82</v>
      </c>
      <c r="F12" s="25">
        <v>1.0</v>
      </c>
      <c r="G12" s="17"/>
      <c r="H12" s="28">
        <v>1.0</v>
      </c>
      <c r="I12" s="26" t="s">
        <v>83</v>
      </c>
      <c r="J12" s="25">
        <v>1.0</v>
      </c>
      <c r="K12" s="30"/>
      <c r="L12" s="37">
        <v>1.0</v>
      </c>
      <c r="M12" s="29" t="s">
        <v>36</v>
      </c>
      <c r="N12" s="30"/>
      <c r="O12" s="28">
        <v>1.0</v>
      </c>
      <c r="P12" s="30"/>
      <c r="Q12" s="28">
        <v>1.0</v>
      </c>
      <c r="R12" s="30"/>
      <c r="S12" s="28">
        <v>1.0</v>
      </c>
      <c r="T12" s="30"/>
      <c r="U12" s="28">
        <v>1.0</v>
      </c>
      <c r="V12" s="30"/>
      <c r="W12" s="28">
        <v>1.0</v>
      </c>
      <c r="X12" s="29" t="s">
        <v>36</v>
      </c>
    </row>
    <row r="13">
      <c r="B13" s="16" t="s">
        <v>84</v>
      </c>
      <c r="C13" s="17" t="s">
        <v>85</v>
      </c>
      <c r="D13" s="18">
        <v>39.0</v>
      </c>
      <c r="E13" s="17" t="s">
        <v>86</v>
      </c>
      <c r="F13" s="18">
        <v>33.0</v>
      </c>
      <c r="G13" s="17" t="s">
        <v>87</v>
      </c>
      <c r="H13" s="18">
        <v>17.0</v>
      </c>
      <c r="I13" s="17" t="s">
        <v>88</v>
      </c>
      <c r="J13" s="18">
        <v>30.0</v>
      </c>
      <c r="K13" s="17" t="s">
        <v>89</v>
      </c>
      <c r="L13" s="18">
        <v>29.0</v>
      </c>
      <c r="M13" s="19" t="s">
        <v>84</v>
      </c>
      <c r="N13" s="17" t="s">
        <v>90</v>
      </c>
      <c r="O13" s="18">
        <v>19.0</v>
      </c>
      <c r="P13" s="17" t="s">
        <v>91</v>
      </c>
      <c r="Q13" s="18">
        <v>37.0</v>
      </c>
      <c r="R13" s="17" t="s">
        <v>92</v>
      </c>
      <c r="S13" s="18">
        <v>20.0</v>
      </c>
      <c r="T13" s="17" t="s">
        <v>93</v>
      </c>
      <c r="U13" s="18">
        <v>35.0</v>
      </c>
      <c r="V13" s="17" t="s">
        <v>94</v>
      </c>
      <c r="W13" s="18">
        <v>29.0</v>
      </c>
      <c r="X13" s="19" t="s">
        <v>84</v>
      </c>
    </row>
    <row r="14">
      <c r="B14" s="16" t="s">
        <v>84</v>
      </c>
      <c r="C14" s="32" t="s">
        <v>95</v>
      </c>
      <c r="D14" s="18">
        <v>20.0</v>
      </c>
      <c r="E14" s="17" t="s">
        <v>96</v>
      </c>
      <c r="F14" s="18">
        <v>15.0</v>
      </c>
      <c r="G14" s="17" t="s">
        <v>97</v>
      </c>
      <c r="H14" s="18">
        <v>17.0</v>
      </c>
      <c r="I14" s="17" t="s">
        <v>98</v>
      </c>
      <c r="J14" s="18">
        <v>20.0</v>
      </c>
      <c r="K14" s="17" t="s">
        <v>99</v>
      </c>
      <c r="L14" s="18">
        <v>18.0</v>
      </c>
      <c r="M14" s="19" t="s">
        <v>84</v>
      </c>
      <c r="N14" s="17" t="s">
        <v>100</v>
      </c>
      <c r="O14" s="18">
        <v>17.0</v>
      </c>
      <c r="P14" s="17" t="s">
        <v>101</v>
      </c>
      <c r="Q14" s="18">
        <v>21.0</v>
      </c>
      <c r="R14" s="17" t="s">
        <v>102</v>
      </c>
      <c r="S14" s="18">
        <v>15.0</v>
      </c>
      <c r="T14" s="17" t="s">
        <v>103</v>
      </c>
      <c r="U14" s="18">
        <v>27.0</v>
      </c>
      <c r="V14" s="17" t="s">
        <v>104</v>
      </c>
      <c r="W14" s="18">
        <v>24.0</v>
      </c>
      <c r="X14" s="19" t="s">
        <v>84</v>
      </c>
    </row>
    <row r="15">
      <c r="B15" s="16" t="s">
        <v>84</v>
      </c>
      <c r="C15" s="17" t="s">
        <v>105</v>
      </c>
      <c r="D15" s="18">
        <v>13.0</v>
      </c>
      <c r="E15" s="20" t="s">
        <v>106</v>
      </c>
      <c r="F15" s="21">
        <v>1.0</v>
      </c>
      <c r="G15" s="17" t="s">
        <v>107</v>
      </c>
      <c r="H15" s="18">
        <v>12.0</v>
      </c>
      <c r="I15" s="17" t="s">
        <v>108</v>
      </c>
      <c r="J15" s="18">
        <v>11.0</v>
      </c>
      <c r="K15" s="17" t="s">
        <v>109</v>
      </c>
      <c r="L15" s="18">
        <v>7.0</v>
      </c>
      <c r="M15" s="19" t="s">
        <v>84</v>
      </c>
      <c r="N15" s="17" t="s">
        <v>110</v>
      </c>
      <c r="O15" s="18">
        <v>8.0</v>
      </c>
      <c r="P15" s="17" t="s">
        <v>111</v>
      </c>
      <c r="Q15" s="18">
        <v>6.0</v>
      </c>
      <c r="R15" s="17" t="s">
        <v>112</v>
      </c>
      <c r="S15" s="18">
        <v>12.0</v>
      </c>
      <c r="T15" s="17" t="s">
        <v>113</v>
      </c>
      <c r="U15" s="18">
        <v>21.0</v>
      </c>
      <c r="V15" s="17" t="s">
        <v>114</v>
      </c>
      <c r="W15" s="18">
        <v>20.0</v>
      </c>
      <c r="X15" s="19" t="s">
        <v>84</v>
      </c>
    </row>
    <row r="16">
      <c r="B16" s="16" t="s">
        <v>84</v>
      </c>
      <c r="C16" s="17" t="s">
        <v>115</v>
      </c>
      <c r="D16" s="18">
        <v>8.0</v>
      </c>
      <c r="E16" s="20" t="s">
        <v>116</v>
      </c>
      <c r="F16" s="21">
        <v>1.0</v>
      </c>
      <c r="G16" s="17" t="s">
        <v>117</v>
      </c>
      <c r="H16" s="18">
        <v>8.0</v>
      </c>
      <c r="I16" s="17" t="s">
        <v>118</v>
      </c>
      <c r="J16" s="18">
        <v>10.0</v>
      </c>
      <c r="K16" s="17" t="s">
        <v>119</v>
      </c>
      <c r="L16" s="18">
        <v>4.0</v>
      </c>
      <c r="M16" s="19" t="s">
        <v>84</v>
      </c>
      <c r="N16" s="17" t="s">
        <v>120</v>
      </c>
      <c r="O16" s="18">
        <v>6.0</v>
      </c>
      <c r="P16" s="17" t="s">
        <v>121</v>
      </c>
      <c r="Q16" s="38">
        <v>2.0</v>
      </c>
      <c r="R16" s="17" t="s">
        <v>122</v>
      </c>
      <c r="S16" s="18">
        <v>10.0</v>
      </c>
      <c r="T16" s="17" t="s">
        <v>123</v>
      </c>
      <c r="U16" s="18">
        <v>16.0</v>
      </c>
      <c r="V16" s="20" t="s">
        <v>124</v>
      </c>
      <c r="W16" s="21">
        <v>2.0</v>
      </c>
      <c r="X16" s="19" t="s">
        <v>84</v>
      </c>
    </row>
    <row r="17">
      <c r="B17" s="16" t="s">
        <v>84</v>
      </c>
      <c r="C17" s="32" t="s">
        <v>125</v>
      </c>
      <c r="D17" s="39">
        <v>6.0</v>
      </c>
      <c r="E17" s="20" t="s">
        <v>126</v>
      </c>
      <c r="F17" s="21">
        <v>1.0</v>
      </c>
      <c r="G17" s="17" t="s">
        <v>127</v>
      </c>
      <c r="H17" s="18">
        <v>8.0</v>
      </c>
      <c r="I17" s="17" t="s">
        <v>128</v>
      </c>
      <c r="J17" s="18">
        <v>3.0</v>
      </c>
      <c r="K17" s="17" t="s">
        <v>129</v>
      </c>
      <c r="L17" s="18">
        <v>4.0</v>
      </c>
      <c r="M17" s="19" t="s">
        <v>84</v>
      </c>
      <c r="N17" s="17"/>
      <c r="O17" s="22">
        <v>1.0</v>
      </c>
      <c r="P17" s="17"/>
      <c r="Q17" s="22">
        <v>1.0</v>
      </c>
      <c r="R17" s="17" t="s">
        <v>130</v>
      </c>
      <c r="S17" s="18">
        <v>8.0</v>
      </c>
      <c r="T17" s="17" t="s">
        <v>131</v>
      </c>
      <c r="U17" s="18">
        <v>8.0</v>
      </c>
      <c r="V17" s="20" t="s">
        <v>132</v>
      </c>
      <c r="W17" s="21">
        <v>1.0</v>
      </c>
      <c r="X17" s="19" t="s">
        <v>84</v>
      </c>
    </row>
    <row r="18">
      <c r="B18" s="16" t="s">
        <v>84</v>
      </c>
      <c r="C18" s="20" t="s">
        <v>133</v>
      </c>
      <c r="D18" s="21">
        <v>6.0</v>
      </c>
      <c r="E18" s="20" t="s">
        <v>134</v>
      </c>
      <c r="F18" s="21">
        <v>1.0</v>
      </c>
      <c r="G18" s="17" t="s">
        <v>135</v>
      </c>
      <c r="H18" s="18">
        <v>7.0</v>
      </c>
      <c r="I18" s="20" t="s">
        <v>136</v>
      </c>
      <c r="J18" s="21">
        <v>1.0</v>
      </c>
      <c r="K18" s="40"/>
      <c r="L18" s="22">
        <v>1.0</v>
      </c>
      <c r="M18" s="19" t="s">
        <v>84</v>
      </c>
      <c r="N18" s="30"/>
      <c r="O18" s="28">
        <v>1.0</v>
      </c>
      <c r="P18" s="30"/>
      <c r="Q18" s="28">
        <v>1.0</v>
      </c>
      <c r="R18" s="30" t="s">
        <v>137</v>
      </c>
      <c r="S18" s="31">
        <v>9.0</v>
      </c>
      <c r="T18" s="30" t="s">
        <v>138</v>
      </c>
      <c r="U18" s="31">
        <v>7.0</v>
      </c>
      <c r="V18" s="26" t="s">
        <v>139</v>
      </c>
      <c r="W18" s="25">
        <v>1.0</v>
      </c>
      <c r="X18" s="29" t="s">
        <v>84</v>
      </c>
    </row>
    <row r="19">
      <c r="B19" s="41" t="s">
        <v>140</v>
      </c>
      <c r="C19" s="42" t="s">
        <v>141</v>
      </c>
      <c r="D19" s="43">
        <v>1.0</v>
      </c>
      <c r="E19" s="44" t="s">
        <v>142</v>
      </c>
      <c r="F19" s="45">
        <v>1.0</v>
      </c>
      <c r="G19" s="42" t="s">
        <v>143</v>
      </c>
      <c r="H19" s="46">
        <v>6.0</v>
      </c>
      <c r="I19" s="42" t="s">
        <v>144</v>
      </c>
      <c r="J19" s="46">
        <v>12.0</v>
      </c>
      <c r="K19" s="42" t="s">
        <v>145</v>
      </c>
      <c r="L19" s="46">
        <v>8.0</v>
      </c>
      <c r="M19" s="47" t="s">
        <v>140</v>
      </c>
      <c r="N19" s="17" t="s">
        <v>146</v>
      </c>
      <c r="O19" s="18">
        <v>14.0</v>
      </c>
      <c r="P19" s="17" t="s">
        <v>147</v>
      </c>
      <c r="Q19" s="18">
        <v>3.0</v>
      </c>
      <c r="R19" s="17" t="s">
        <v>148</v>
      </c>
      <c r="S19" s="18">
        <v>12.0</v>
      </c>
      <c r="T19" s="17" t="s">
        <v>149</v>
      </c>
      <c r="U19" s="18">
        <v>8.0</v>
      </c>
      <c r="V19" s="17" t="s">
        <v>150</v>
      </c>
      <c r="W19" s="18">
        <v>16.0</v>
      </c>
      <c r="X19" s="19" t="s">
        <v>140</v>
      </c>
    </row>
    <row r="20">
      <c r="B20" s="16" t="s">
        <v>140</v>
      </c>
      <c r="C20" s="20" t="s">
        <v>151</v>
      </c>
      <c r="D20" s="48">
        <v>2.0</v>
      </c>
      <c r="E20" s="49" t="s">
        <v>152</v>
      </c>
      <c r="F20" s="50">
        <v>1.0</v>
      </c>
      <c r="G20" s="17"/>
      <c r="H20" s="22">
        <v>1.0</v>
      </c>
      <c r="I20" s="17" t="s">
        <v>153</v>
      </c>
      <c r="J20" s="18">
        <v>8.0</v>
      </c>
      <c r="K20" s="40" t="s">
        <v>154</v>
      </c>
      <c r="L20" s="21">
        <v>3.0</v>
      </c>
      <c r="M20" s="19" t="s">
        <v>140</v>
      </c>
      <c r="N20" s="17" t="s">
        <v>155</v>
      </c>
      <c r="O20" s="18">
        <v>8.0</v>
      </c>
      <c r="P20" s="17"/>
      <c r="Q20" s="22">
        <v>1.0</v>
      </c>
      <c r="R20" s="17" t="s">
        <v>156</v>
      </c>
      <c r="S20" s="18">
        <v>11.0</v>
      </c>
      <c r="T20" s="17"/>
      <c r="U20" s="22">
        <v>1.0</v>
      </c>
      <c r="V20" s="17"/>
      <c r="W20" s="22">
        <v>1.0</v>
      </c>
      <c r="X20" s="19" t="s">
        <v>140</v>
      </c>
    </row>
    <row r="21">
      <c r="B21" s="23" t="s">
        <v>140</v>
      </c>
      <c r="C21" s="26" t="s">
        <v>157</v>
      </c>
      <c r="D21" s="25">
        <v>2.0</v>
      </c>
      <c r="E21" s="26" t="s">
        <v>158</v>
      </c>
      <c r="F21" s="25">
        <v>1.0</v>
      </c>
      <c r="G21" s="30"/>
      <c r="H21" s="28">
        <v>1.0</v>
      </c>
      <c r="I21" s="30"/>
      <c r="J21" s="28">
        <v>1.0</v>
      </c>
      <c r="K21" s="30"/>
      <c r="L21" s="28">
        <v>1.0</v>
      </c>
      <c r="M21" s="29" t="s">
        <v>140</v>
      </c>
      <c r="N21" s="30"/>
      <c r="O21" s="28">
        <v>1.0</v>
      </c>
      <c r="P21" s="30"/>
      <c r="Q21" s="28">
        <v>1.0</v>
      </c>
      <c r="R21" s="30" t="s">
        <v>159</v>
      </c>
      <c r="S21" s="31">
        <v>2.0</v>
      </c>
      <c r="T21" s="30"/>
      <c r="U21" s="28">
        <v>1.0</v>
      </c>
      <c r="V21" s="30"/>
      <c r="W21" s="28">
        <v>1.0</v>
      </c>
      <c r="X21" s="29" t="s">
        <v>140</v>
      </c>
    </row>
    <row r="22">
      <c r="B22" s="16" t="s">
        <v>160</v>
      </c>
      <c r="C22" s="20" t="s">
        <v>161</v>
      </c>
      <c r="D22" s="21">
        <v>1.0</v>
      </c>
      <c r="E22" s="20" t="s">
        <v>162</v>
      </c>
      <c r="F22" s="21">
        <v>1.0</v>
      </c>
      <c r="G22" s="17"/>
      <c r="H22" s="22">
        <v>1.0</v>
      </c>
      <c r="I22" s="20" t="s">
        <v>163</v>
      </c>
      <c r="J22" s="21">
        <v>1.0</v>
      </c>
      <c r="K22" s="20" t="s">
        <v>164</v>
      </c>
      <c r="L22" s="21">
        <v>3.0</v>
      </c>
      <c r="M22" s="19" t="s">
        <v>160</v>
      </c>
      <c r="N22" s="17"/>
      <c r="O22" s="22">
        <v>1.0</v>
      </c>
      <c r="P22" s="17"/>
      <c r="Q22" s="22">
        <v>1.0</v>
      </c>
      <c r="R22" s="17"/>
      <c r="S22" s="22">
        <v>1.0</v>
      </c>
      <c r="T22" s="20" t="s">
        <v>165</v>
      </c>
      <c r="U22" s="21">
        <v>1.0</v>
      </c>
      <c r="V22" s="17"/>
      <c r="W22" s="22">
        <v>1.0</v>
      </c>
      <c r="X22" s="19" t="s">
        <v>160</v>
      </c>
    </row>
    <row r="23">
      <c r="B23" s="23" t="s">
        <v>160</v>
      </c>
      <c r="C23" s="27"/>
      <c r="D23" s="28">
        <v>1.0</v>
      </c>
      <c r="E23" s="27"/>
      <c r="F23" s="28">
        <v>1.0</v>
      </c>
      <c r="G23" s="27"/>
      <c r="H23" s="28">
        <v>1.0</v>
      </c>
      <c r="I23" s="27"/>
      <c r="J23" s="28">
        <v>1.0</v>
      </c>
      <c r="K23" s="27"/>
      <c r="L23" s="28">
        <v>1.0</v>
      </c>
      <c r="M23" s="29" t="s">
        <v>160</v>
      </c>
      <c r="N23" s="27"/>
      <c r="O23" s="28">
        <v>1.0</v>
      </c>
      <c r="P23" s="27"/>
      <c r="Q23" s="28">
        <v>1.0</v>
      </c>
      <c r="R23" s="30"/>
      <c r="S23" s="28">
        <v>1.0</v>
      </c>
      <c r="T23" s="30"/>
      <c r="U23" s="28">
        <v>1.0</v>
      </c>
      <c r="V23" s="30"/>
      <c r="W23" s="28">
        <v>1.0</v>
      </c>
      <c r="X23" s="29" t="s">
        <v>160</v>
      </c>
    </row>
    <row r="24">
      <c r="B24" s="16" t="s">
        <v>166</v>
      </c>
      <c r="C24" s="32" t="s">
        <v>167</v>
      </c>
      <c r="D24" s="22">
        <v>1.0</v>
      </c>
      <c r="E24" s="20" t="s">
        <v>168</v>
      </c>
      <c r="F24" s="21">
        <v>1.0</v>
      </c>
      <c r="G24" s="17"/>
      <c r="H24" s="22">
        <v>1.0</v>
      </c>
      <c r="I24" s="20" t="s">
        <v>169</v>
      </c>
      <c r="J24" s="21">
        <v>1.0</v>
      </c>
      <c r="K24" s="20" t="s">
        <v>170</v>
      </c>
      <c r="L24" s="21">
        <v>3.0</v>
      </c>
      <c r="M24" s="19" t="s">
        <v>166</v>
      </c>
      <c r="N24" s="17" t="s">
        <v>171</v>
      </c>
      <c r="O24" s="18">
        <v>2.0</v>
      </c>
      <c r="P24" s="32"/>
      <c r="Q24" s="22">
        <v>1.0</v>
      </c>
      <c r="R24" s="17"/>
      <c r="S24" s="22">
        <v>1.0</v>
      </c>
      <c r="T24" s="17"/>
      <c r="U24" s="22">
        <v>1.0</v>
      </c>
      <c r="V24" s="17" t="s">
        <v>172</v>
      </c>
      <c r="W24" s="18">
        <v>1.0</v>
      </c>
      <c r="X24" s="19" t="s">
        <v>166</v>
      </c>
    </row>
    <row r="25">
      <c r="B25" s="23" t="s">
        <v>166</v>
      </c>
      <c r="C25" s="27"/>
      <c r="D25" s="28">
        <v>1.0</v>
      </c>
      <c r="E25" s="27"/>
      <c r="F25" s="28">
        <v>1.0</v>
      </c>
      <c r="G25" s="27"/>
      <c r="H25" s="28">
        <v>1.0</v>
      </c>
      <c r="I25" s="27"/>
      <c r="J25" s="28">
        <v>1.0</v>
      </c>
      <c r="K25" s="27"/>
      <c r="L25" s="28">
        <v>1.0</v>
      </c>
      <c r="M25" s="29" t="s">
        <v>166</v>
      </c>
      <c r="N25" s="27"/>
      <c r="O25" s="28">
        <v>1.0</v>
      </c>
      <c r="P25" s="27"/>
      <c r="Q25" s="28">
        <v>1.0</v>
      </c>
      <c r="R25" s="30"/>
      <c r="S25" s="28">
        <v>1.0</v>
      </c>
      <c r="T25" s="30"/>
      <c r="U25" s="28">
        <v>1.0</v>
      </c>
      <c r="V25" s="30"/>
      <c r="W25" s="28">
        <v>1.0</v>
      </c>
      <c r="X25" s="29" t="s">
        <v>166</v>
      </c>
    </row>
    <row r="26">
      <c r="B26" s="16" t="s">
        <v>173</v>
      </c>
      <c r="C26" s="51" t="s">
        <v>174</v>
      </c>
      <c r="D26" s="52">
        <v>1.0</v>
      </c>
      <c r="E26" s="51" t="s">
        <v>130</v>
      </c>
      <c r="F26" s="52">
        <v>12.0</v>
      </c>
      <c r="G26" s="51" t="s">
        <v>175</v>
      </c>
      <c r="H26" s="52">
        <v>10.0</v>
      </c>
      <c r="I26" s="51" t="s">
        <v>176</v>
      </c>
      <c r="J26" s="52">
        <v>8.0</v>
      </c>
      <c r="K26" s="53"/>
      <c r="L26" s="54"/>
      <c r="M26" s="19" t="s">
        <v>173</v>
      </c>
      <c r="N26" s="53"/>
      <c r="O26" s="54"/>
      <c r="P26" s="51" t="s">
        <v>177</v>
      </c>
      <c r="Q26" s="55">
        <v>10.0</v>
      </c>
      <c r="R26" s="53"/>
      <c r="S26" s="56"/>
      <c r="T26" s="53"/>
      <c r="U26" s="54"/>
      <c r="V26" s="53"/>
      <c r="W26" s="56"/>
      <c r="X26" s="19" t="s">
        <v>173</v>
      </c>
    </row>
    <row r="27">
      <c r="B27" s="16" t="s">
        <v>173</v>
      </c>
      <c r="C27" s="53"/>
      <c r="D27" s="56"/>
      <c r="E27" s="51" t="s">
        <v>154</v>
      </c>
      <c r="F27" s="55">
        <v>8.0</v>
      </c>
      <c r="G27" s="53"/>
      <c r="H27" s="54"/>
      <c r="I27" s="53"/>
      <c r="J27" s="56"/>
      <c r="K27" s="53"/>
      <c r="L27" s="56"/>
      <c r="M27" s="19" t="s">
        <v>173</v>
      </c>
      <c r="N27" s="53"/>
      <c r="O27" s="54"/>
      <c r="P27" s="53"/>
      <c r="Q27" s="56"/>
      <c r="R27" s="53"/>
      <c r="S27" s="56"/>
      <c r="T27" s="53"/>
      <c r="U27" s="56"/>
      <c r="V27" s="53"/>
      <c r="W27" s="56"/>
      <c r="X27" s="19" t="s">
        <v>173</v>
      </c>
    </row>
    <row r="28">
      <c r="B28" s="57" t="s">
        <v>173</v>
      </c>
      <c r="C28" s="58"/>
      <c r="D28" s="59"/>
      <c r="E28" s="60"/>
      <c r="F28" s="61"/>
      <c r="G28" s="58"/>
      <c r="H28" s="62"/>
      <c r="I28" s="58"/>
      <c r="J28" s="59"/>
      <c r="K28" s="58"/>
      <c r="L28" s="59"/>
      <c r="M28" s="63" t="s">
        <v>173</v>
      </c>
      <c r="N28" s="58"/>
      <c r="O28" s="59"/>
      <c r="P28" s="58"/>
      <c r="Q28" s="59"/>
      <c r="R28" s="58"/>
      <c r="S28" s="59"/>
      <c r="T28" s="58"/>
      <c r="U28" s="59"/>
      <c r="V28" s="58"/>
      <c r="W28" s="59"/>
      <c r="X28" s="63" t="s">
        <v>173</v>
      </c>
    </row>
    <row r="29">
      <c r="B29" s="32"/>
      <c r="C29" s="64" t="s">
        <v>178</v>
      </c>
      <c r="D29" s="65">
        <v>200.0</v>
      </c>
      <c r="E29" s="64" t="s">
        <v>178</v>
      </c>
      <c r="F29" s="65">
        <v>200.0</v>
      </c>
      <c r="G29" s="64" t="s">
        <v>178</v>
      </c>
      <c r="H29" s="65">
        <v>200.0</v>
      </c>
      <c r="I29" s="64" t="s">
        <v>178</v>
      </c>
      <c r="J29" s="65">
        <v>200.0</v>
      </c>
      <c r="K29" s="64" t="s">
        <v>178</v>
      </c>
      <c r="L29" s="65">
        <v>200.0</v>
      </c>
      <c r="M29" s="32"/>
      <c r="N29" s="64" t="s">
        <v>178</v>
      </c>
      <c r="O29" s="65">
        <v>200.0</v>
      </c>
      <c r="P29" s="64" t="s">
        <v>178</v>
      </c>
      <c r="Q29" s="65">
        <v>200.0</v>
      </c>
      <c r="R29" s="64" t="s">
        <v>178</v>
      </c>
      <c r="S29" s="65">
        <v>200.0</v>
      </c>
      <c r="T29" s="64" t="s">
        <v>178</v>
      </c>
      <c r="U29" s="65">
        <v>200.0</v>
      </c>
      <c r="V29" s="64" t="s">
        <v>178</v>
      </c>
      <c r="W29" s="65">
        <v>200.0</v>
      </c>
      <c r="X29" s="32"/>
    </row>
    <row r="30">
      <c r="B30" s="32"/>
      <c r="C30" s="64" t="s">
        <v>179</v>
      </c>
      <c r="D30" s="65">
        <f>SUM(D4:D28)</f>
        <v>184</v>
      </c>
      <c r="E30" s="64" t="s">
        <v>179</v>
      </c>
      <c r="F30" s="65">
        <f>SUM(F4:F28)</f>
        <v>200</v>
      </c>
      <c r="G30" s="64" t="s">
        <v>179</v>
      </c>
      <c r="H30" s="65">
        <f>SUM(H4:H28)</f>
        <v>200</v>
      </c>
      <c r="I30" s="64" t="s">
        <v>179</v>
      </c>
      <c r="J30" s="65">
        <f>SUM(J4:J28)</f>
        <v>198</v>
      </c>
      <c r="K30" s="64" t="s">
        <v>179</v>
      </c>
      <c r="L30" s="65">
        <f>SUM(L4:L28)</f>
        <v>197</v>
      </c>
      <c r="M30" s="32"/>
      <c r="N30" s="64" t="s">
        <v>179</v>
      </c>
      <c r="O30" s="66">
        <f>SUM(O4:O28)</f>
        <v>200</v>
      </c>
      <c r="P30" s="64" t="s">
        <v>179</v>
      </c>
      <c r="Q30" s="66">
        <f>SUM(Q4:Q28)</f>
        <v>199</v>
      </c>
      <c r="R30" s="64" t="s">
        <v>179</v>
      </c>
      <c r="S30" s="66">
        <f>SUM(S4:S28)</f>
        <v>168</v>
      </c>
      <c r="T30" s="64" t="s">
        <v>179</v>
      </c>
      <c r="U30" s="66">
        <f>SUM(U4:U28)</f>
        <v>197</v>
      </c>
      <c r="V30" s="64" t="s">
        <v>179</v>
      </c>
      <c r="W30" s="66">
        <f>SUM(W4:W28)</f>
        <v>195</v>
      </c>
      <c r="X30" s="32"/>
    </row>
    <row r="31">
      <c r="B31" s="32"/>
      <c r="C31" s="64" t="s">
        <v>180</v>
      </c>
      <c r="D31" s="65">
        <f>D29-D30</f>
        <v>16</v>
      </c>
      <c r="E31" s="64" t="s">
        <v>180</v>
      </c>
      <c r="F31" s="65">
        <f>F29-F30</f>
        <v>0</v>
      </c>
      <c r="G31" s="64" t="s">
        <v>180</v>
      </c>
      <c r="H31" s="65">
        <f>H29-H30</f>
        <v>0</v>
      </c>
      <c r="I31" s="64" t="s">
        <v>180</v>
      </c>
      <c r="J31" s="65">
        <f>J29-J30</f>
        <v>2</v>
      </c>
      <c r="K31" s="64" t="s">
        <v>180</v>
      </c>
      <c r="L31" s="65">
        <f>L29-L30</f>
        <v>3</v>
      </c>
      <c r="M31" s="32"/>
      <c r="N31" s="64" t="s">
        <v>180</v>
      </c>
      <c r="O31" s="66">
        <f>O29-O30</f>
        <v>0</v>
      </c>
      <c r="P31" s="64" t="s">
        <v>180</v>
      </c>
      <c r="Q31" s="66">
        <f>Q29-Q30</f>
        <v>1</v>
      </c>
      <c r="R31" s="64" t="s">
        <v>180</v>
      </c>
      <c r="S31" s="66">
        <f>S29-S30</f>
        <v>32</v>
      </c>
      <c r="T31" s="64" t="s">
        <v>180</v>
      </c>
      <c r="U31" s="66">
        <f>U29-U30</f>
        <v>3</v>
      </c>
      <c r="V31" s="64" t="s">
        <v>180</v>
      </c>
      <c r="W31" s="66">
        <f>W29-W30</f>
        <v>5</v>
      </c>
      <c r="X31" s="32"/>
    </row>
    <row r="32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>
      <c r="A33" s="67"/>
      <c r="B33" s="68"/>
      <c r="C33" s="4" t="s">
        <v>5</v>
      </c>
      <c r="D33" s="5"/>
      <c r="E33" s="4" t="s">
        <v>6</v>
      </c>
      <c r="F33" s="5"/>
      <c r="G33" s="6" t="s">
        <v>7</v>
      </c>
      <c r="H33" s="5"/>
      <c r="I33" s="6" t="s">
        <v>8</v>
      </c>
      <c r="J33" s="5"/>
      <c r="K33" s="6" t="s">
        <v>9</v>
      </c>
      <c r="L33" s="5"/>
      <c r="M33" s="7"/>
    </row>
    <row r="34">
      <c r="A34" s="67"/>
      <c r="B34" s="8" t="s">
        <v>10</v>
      </c>
      <c r="C34" s="13" t="s">
        <v>11</v>
      </c>
      <c r="D34" s="14" t="s">
        <v>12</v>
      </c>
      <c r="E34" s="13" t="s">
        <v>11</v>
      </c>
      <c r="F34" s="14" t="s">
        <v>12</v>
      </c>
      <c r="G34" s="13" t="s">
        <v>11</v>
      </c>
      <c r="H34" s="14" t="s">
        <v>12</v>
      </c>
      <c r="I34" s="13" t="s">
        <v>11</v>
      </c>
      <c r="J34" s="14" t="s">
        <v>12</v>
      </c>
      <c r="K34" s="13" t="s">
        <v>11</v>
      </c>
      <c r="L34" s="14" t="s">
        <v>12</v>
      </c>
      <c r="M34" s="15" t="s">
        <v>10</v>
      </c>
    </row>
    <row r="35">
      <c r="A35" s="67"/>
      <c r="B35" s="16" t="s">
        <v>13</v>
      </c>
      <c r="C35" s="17" t="s">
        <v>19</v>
      </c>
      <c r="D35" s="18">
        <v>10.0</v>
      </c>
      <c r="E35" s="17" t="s">
        <v>20</v>
      </c>
      <c r="F35" s="18">
        <v>23.0</v>
      </c>
      <c r="G35" s="17" t="s">
        <v>21</v>
      </c>
      <c r="H35" s="18">
        <v>5.0</v>
      </c>
      <c r="I35" s="17" t="s">
        <v>22</v>
      </c>
      <c r="J35" s="18">
        <v>17.0</v>
      </c>
      <c r="K35" s="17" t="s">
        <v>23</v>
      </c>
      <c r="L35" s="18">
        <v>23.0</v>
      </c>
      <c r="M35" s="19" t="s">
        <v>13</v>
      </c>
    </row>
    <row r="36">
      <c r="A36" s="67"/>
      <c r="B36" s="16" t="s">
        <v>13</v>
      </c>
      <c r="C36" s="17"/>
      <c r="D36" s="33"/>
      <c r="E36" s="17" t="s">
        <v>29</v>
      </c>
      <c r="F36" s="18">
        <v>15.0</v>
      </c>
      <c r="G36" s="17" t="s">
        <v>30</v>
      </c>
      <c r="H36" s="18">
        <v>3.0</v>
      </c>
      <c r="I36" s="17"/>
      <c r="J36" s="18"/>
      <c r="K36" s="17"/>
      <c r="L36" s="18"/>
      <c r="M36" s="19" t="s">
        <v>13</v>
      </c>
    </row>
    <row r="37">
      <c r="A37" s="67"/>
      <c r="B37" s="23" t="s">
        <v>13</v>
      </c>
      <c r="C37" s="27"/>
      <c r="D37" s="69"/>
      <c r="E37" s="27"/>
      <c r="F37" s="69"/>
      <c r="G37" s="30" t="s">
        <v>35</v>
      </c>
      <c r="H37" s="31">
        <v>3.0</v>
      </c>
      <c r="I37" s="30"/>
      <c r="J37" s="70"/>
      <c r="K37" s="30"/>
      <c r="L37" s="70"/>
      <c r="M37" s="29" t="s">
        <v>13</v>
      </c>
    </row>
    <row r="38">
      <c r="A38" s="67"/>
      <c r="B38" s="16" t="s">
        <v>36</v>
      </c>
      <c r="C38" s="17" t="s">
        <v>42</v>
      </c>
      <c r="D38" s="18">
        <v>35.0</v>
      </c>
      <c r="E38" s="17" t="s">
        <v>43</v>
      </c>
      <c r="F38" s="18">
        <v>33.0</v>
      </c>
      <c r="G38" s="17" t="s">
        <v>44</v>
      </c>
      <c r="H38" s="18">
        <v>21.0</v>
      </c>
      <c r="I38" s="17" t="s">
        <v>45</v>
      </c>
      <c r="J38" s="18">
        <v>19.0</v>
      </c>
      <c r="K38" s="17" t="s">
        <v>46</v>
      </c>
      <c r="L38" s="18">
        <v>35.0</v>
      </c>
      <c r="M38" s="19" t="s">
        <v>36</v>
      </c>
    </row>
    <row r="39">
      <c r="A39" s="67"/>
      <c r="B39" s="16" t="s">
        <v>36</v>
      </c>
      <c r="C39" s="17" t="s">
        <v>52</v>
      </c>
      <c r="D39" s="18">
        <v>33.0</v>
      </c>
      <c r="E39" s="17" t="s">
        <v>53</v>
      </c>
      <c r="F39" s="18">
        <v>21.0</v>
      </c>
      <c r="G39" s="17" t="s">
        <v>54</v>
      </c>
      <c r="H39" s="18">
        <v>11.0</v>
      </c>
      <c r="I39" s="17" t="s">
        <v>55</v>
      </c>
      <c r="J39" s="18">
        <v>12.0</v>
      </c>
      <c r="K39" s="17" t="s">
        <v>56</v>
      </c>
      <c r="L39" s="18">
        <v>32.0</v>
      </c>
      <c r="M39" s="19" t="s">
        <v>36</v>
      </c>
    </row>
    <row r="40">
      <c r="A40" s="67"/>
      <c r="B40" s="16" t="s">
        <v>36</v>
      </c>
      <c r="C40" s="17" t="s">
        <v>62</v>
      </c>
      <c r="D40" s="18">
        <v>15.0</v>
      </c>
      <c r="E40" s="17" t="s">
        <v>63</v>
      </c>
      <c r="F40" s="18">
        <v>7.0</v>
      </c>
      <c r="G40" s="17" t="s">
        <v>64</v>
      </c>
      <c r="H40" s="18">
        <v>10.0</v>
      </c>
      <c r="I40" s="17" t="s">
        <v>65</v>
      </c>
      <c r="J40" s="18">
        <v>8.0</v>
      </c>
      <c r="K40" s="17"/>
      <c r="L40" s="18"/>
      <c r="M40" s="19" t="s">
        <v>36</v>
      </c>
    </row>
    <row r="41">
      <c r="A41" s="67"/>
      <c r="B41" s="16" t="s">
        <v>36</v>
      </c>
      <c r="C41" s="17" t="s">
        <v>72</v>
      </c>
      <c r="D41" s="34">
        <v>14.0</v>
      </c>
      <c r="E41" s="17" t="s">
        <v>181</v>
      </c>
      <c r="F41" s="34">
        <v>6.0</v>
      </c>
      <c r="G41" s="17" t="s">
        <v>74</v>
      </c>
      <c r="H41" s="18">
        <v>7.0</v>
      </c>
      <c r="I41" s="17" t="s">
        <v>75</v>
      </c>
      <c r="J41" s="18">
        <v>8.0</v>
      </c>
      <c r="K41" s="17"/>
      <c r="L41" s="18"/>
      <c r="M41" s="19" t="s">
        <v>36</v>
      </c>
    </row>
    <row r="42">
      <c r="A42" s="67"/>
      <c r="B42" s="16" t="s">
        <v>36</v>
      </c>
      <c r="C42" s="17" t="s">
        <v>79</v>
      </c>
      <c r="D42" s="18">
        <v>10.0</v>
      </c>
      <c r="E42" s="17" t="s">
        <v>73</v>
      </c>
      <c r="F42" s="18">
        <v>6.0</v>
      </c>
      <c r="G42" s="17" t="s">
        <v>81</v>
      </c>
      <c r="H42" s="18">
        <v>4.0</v>
      </c>
      <c r="I42" s="17"/>
      <c r="J42" s="33"/>
      <c r="K42" s="17"/>
      <c r="L42" s="33"/>
      <c r="M42" s="19" t="s">
        <v>36</v>
      </c>
    </row>
    <row r="43">
      <c r="A43" s="67"/>
      <c r="B43" s="23" t="s">
        <v>36</v>
      </c>
      <c r="C43" s="30"/>
      <c r="D43" s="70"/>
      <c r="E43" s="30" t="s">
        <v>80</v>
      </c>
      <c r="F43" s="31">
        <v>5.0</v>
      </c>
      <c r="G43" s="30"/>
      <c r="H43" s="31"/>
      <c r="I43" s="30"/>
      <c r="J43" s="70"/>
      <c r="K43" s="30"/>
      <c r="L43" s="70"/>
      <c r="M43" s="29" t="s">
        <v>36</v>
      </c>
    </row>
    <row r="44">
      <c r="A44" s="67"/>
      <c r="B44" s="16" t="s">
        <v>84</v>
      </c>
      <c r="C44" s="17" t="s">
        <v>90</v>
      </c>
      <c r="D44" s="18">
        <v>19.0</v>
      </c>
      <c r="E44" s="17" t="s">
        <v>91</v>
      </c>
      <c r="F44" s="18">
        <v>37.0</v>
      </c>
      <c r="G44" s="17" t="s">
        <v>92</v>
      </c>
      <c r="H44" s="18">
        <v>20.0</v>
      </c>
      <c r="I44" s="17" t="s">
        <v>93</v>
      </c>
      <c r="J44" s="18">
        <v>35.0</v>
      </c>
      <c r="K44" s="17" t="s">
        <v>94</v>
      </c>
      <c r="L44" s="18">
        <v>29.0</v>
      </c>
      <c r="M44" s="19" t="s">
        <v>84</v>
      </c>
    </row>
    <row r="45">
      <c r="A45" s="67"/>
      <c r="B45" s="16" t="s">
        <v>84</v>
      </c>
      <c r="C45" s="17" t="s">
        <v>100</v>
      </c>
      <c r="D45" s="18">
        <v>17.0</v>
      </c>
      <c r="E45" s="17" t="s">
        <v>101</v>
      </c>
      <c r="F45" s="18">
        <v>21.0</v>
      </c>
      <c r="G45" s="17" t="s">
        <v>102</v>
      </c>
      <c r="H45" s="18">
        <v>15.0</v>
      </c>
      <c r="I45" s="17" t="s">
        <v>103</v>
      </c>
      <c r="J45" s="18">
        <v>27.0</v>
      </c>
      <c r="K45" s="17" t="s">
        <v>104</v>
      </c>
      <c r="L45" s="18">
        <v>24.0</v>
      </c>
      <c r="M45" s="19" t="s">
        <v>84</v>
      </c>
    </row>
    <row r="46">
      <c r="A46" s="67"/>
      <c r="B46" s="16" t="s">
        <v>84</v>
      </c>
      <c r="C46" s="17" t="s">
        <v>110</v>
      </c>
      <c r="D46" s="18">
        <v>8.0</v>
      </c>
      <c r="E46" s="17" t="s">
        <v>111</v>
      </c>
      <c r="F46" s="18">
        <v>6.0</v>
      </c>
      <c r="G46" s="17" t="s">
        <v>112</v>
      </c>
      <c r="H46" s="18">
        <v>12.0</v>
      </c>
      <c r="I46" s="17" t="s">
        <v>113</v>
      </c>
      <c r="J46" s="18">
        <v>21.0</v>
      </c>
      <c r="K46" s="17" t="s">
        <v>114</v>
      </c>
      <c r="L46" s="18">
        <v>20.0</v>
      </c>
      <c r="M46" s="19" t="s">
        <v>84</v>
      </c>
    </row>
    <row r="47">
      <c r="A47" s="67"/>
      <c r="B47" s="16" t="s">
        <v>84</v>
      </c>
      <c r="C47" s="17" t="s">
        <v>120</v>
      </c>
      <c r="D47" s="18">
        <v>6.0</v>
      </c>
      <c r="E47" s="17"/>
      <c r="F47" s="39"/>
      <c r="G47" s="17" t="s">
        <v>122</v>
      </c>
      <c r="H47" s="18">
        <v>10.0</v>
      </c>
      <c r="I47" s="17" t="s">
        <v>123</v>
      </c>
      <c r="J47" s="18">
        <v>16.0</v>
      </c>
      <c r="K47" s="17"/>
      <c r="L47" s="18"/>
      <c r="M47" s="19" t="s">
        <v>84</v>
      </c>
    </row>
    <row r="48">
      <c r="A48" s="67"/>
      <c r="B48" s="16" t="s">
        <v>84</v>
      </c>
      <c r="C48" s="17" t="s">
        <v>121</v>
      </c>
      <c r="D48" s="18">
        <v>3.0</v>
      </c>
      <c r="E48" s="17"/>
      <c r="F48" s="39"/>
      <c r="G48" s="17" t="s">
        <v>130</v>
      </c>
      <c r="H48" s="18">
        <v>8.0</v>
      </c>
      <c r="I48" s="17" t="s">
        <v>131</v>
      </c>
      <c r="J48" s="18">
        <v>8.0</v>
      </c>
      <c r="K48" s="17"/>
      <c r="L48" s="33"/>
      <c r="M48" s="19" t="s">
        <v>84</v>
      </c>
    </row>
    <row r="49">
      <c r="A49" s="67"/>
      <c r="B49" s="16" t="s">
        <v>84</v>
      </c>
      <c r="C49" s="30"/>
      <c r="D49" s="71"/>
      <c r="E49" s="30"/>
      <c r="F49" s="69"/>
      <c r="G49" s="30" t="s">
        <v>137</v>
      </c>
      <c r="H49" s="31">
        <v>9.0</v>
      </c>
      <c r="I49" s="30" t="s">
        <v>138</v>
      </c>
      <c r="J49" s="31">
        <v>7.0</v>
      </c>
      <c r="K49" s="30"/>
      <c r="L49" s="70"/>
      <c r="M49" s="29" t="s">
        <v>84</v>
      </c>
    </row>
    <row r="50">
      <c r="A50" s="67"/>
      <c r="B50" s="41" t="s">
        <v>140</v>
      </c>
      <c r="C50" s="17" t="s">
        <v>146</v>
      </c>
      <c r="D50" s="18">
        <v>14.0</v>
      </c>
      <c r="E50" s="17" t="s">
        <v>147</v>
      </c>
      <c r="F50" s="18">
        <v>3.0</v>
      </c>
      <c r="G50" s="17" t="s">
        <v>148</v>
      </c>
      <c r="H50" s="18">
        <v>12.0</v>
      </c>
      <c r="I50" s="17" t="s">
        <v>149</v>
      </c>
      <c r="J50" s="18">
        <v>8.0</v>
      </c>
      <c r="K50" s="17" t="s">
        <v>150</v>
      </c>
      <c r="L50" s="18">
        <v>16.0</v>
      </c>
      <c r="M50" s="19" t="s">
        <v>140</v>
      </c>
    </row>
    <row r="51">
      <c r="A51" s="67"/>
      <c r="B51" s="16" t="s">
        <v>140</v>
      </c>
      <c r="C51" s="17" t="s">
        <v>155</v>
      </c>
      <c r="D51" s="18">
        <v>8.0</v>
      </c>
      <c r="E51" s="17"/>
      <c r="F51" s="72"/>
      <c r="G51" s="17" t="s">
        <v>156</v>
      </c>
      <c r="H51" s="18">
        <v>11.0</v>
      </c>
      <c r="I51" s="17"/>
      <c r="J51" s="18"/>
      <c r="K51" s="17"/>
      <c r="L51" s="33"/>
      <c r="M51" s="19" t="s">
        <v>140</v>
      </c>
    </row>
    <row r="52">
      <c r="A52" s="67"/>
      <c r="B52" s="23" t="s">
        <v>140</v>
      </c>
      <c r="C52" s="30"/>
      <c r="D52" s="70"/>
      <c r="E52" s="30"/>
      <c r="F52" s="69"/>
      <c r="G52" s="30" t="s">
        <v>159</v>
      </c>
      <c r="H52" s="31">
        <v>2.0</v>
      </c>
      <c r="I52" s="30"/>
      <c r="J52" s="71"/>
      <c r="K52" s="30"/>
      <c r="L52" s="70"/>
      <c r="M52" s="29" t="s">
        <v>140</v>
      </c>
    </row>
    <row r="53">
      <c r="A53" s="67"/>
      <c r="B53" s="16" t="s">
        <v>160</v>
      </c>
      <c r="C53" s="17"/>
      <c r="D53" s="18"/>
      <c r="E53" s="17"/>
      <c r="F53" s="72"/>
      <c r="G53" s="17"/>
      <c r="H53" s="18"/>
      <c r="I53" s="17"/>
      <c r="J53" s="18"/>
      <c r="K53" s="17"/>
      <c r="L53" s="18"/>
      <c r="M53" s="19" t="s">
        <v>160</v>
      </c>
    </row>
    <row r="54">
      <c r="A54" s="67"/>
      <c r="B54" s="23" t="s">
        <v>160</v>
      </c>
      <c r="C54" s="27"/>
      <c r="D54" s="69"/>
      <c r="E54" s="27"/>
      <c r="F54" s="69"/>
      <c r="G54" s="30"/>
      <c r="H54" s="71"/>
      <c r="I54" s="30"/>
      <c r="J54" s="69"/>
      <c r="K54" s="30"/>
      <c r="L54" s="69"/>
      <c r="M54" s="29" t="s">
        <v>160</v>
      </c>
    </row>
    <row r="55">
      <c r="A55" s="67"/>
      <c r="B55" s="16" t="s">
        <v>166</v>
      </c>
      <c r="C55" s="17" t="s">
        <v>171</v>
      </c>
      <c r="D55" s="18">
        <v>2.0</v>
      </c>
      <c r="E55" s="32"/>
      <c r="F55" s="72"/>
      <c r="G55" s="17"/>
      <c r="H55" s="18"/>
      <c r="I55" s="17"/>
      <c r="J55" s="18"/>
      <c r="K55" s="17" t="s">
        <v>172</v>
      </c>
      <c r="L55" s="33">
        <v>1.0</v>
      </c>
      <c r="M55" s="19" t="s">
        <v>166</v>
      </c>
    </row>
    <row r="56">
      <c r="A56" s="67"/>
      <c r="B56" s="23" t="s">
        <v>166</v>
      </c>
      <c r="C56" s="27"/>
      <c r="D56" s="69"/>
      <c r="E56" s="27"/>
      <c r="F56" s="69"/>
      <c r="G56" s="30"/>
      <c r="H56" s="71"/>
      <c r="I56" s="30"/>
      <c r="J56" s="69"/>
      <c r="K56" s="30"/>
      <c r="L56" s="69"/>
      <c r="M56" s="29" t="s">
        <v>166</v>
      </c>
    </row>
    <row r="57">
      <c r="A57" s="67"/>
      <c r="B57" s="16" t="s">
        <v>173</v>
      </c>
      <c r="C57" s="53"/>
      <c r="D57" s="54"/>
      <c r="E57" s="51" t="s">
        <v>177</v>
      </c>
      <c r="F57" s="55">
        <v>10.0</v>
      </c>
      <c r="G57" s="53"/>
      <c r="H57" s="56"/>
      <c r="I57" s="53"/>
      <c r="J57" s="54"/>
      <c r="K57" s="53"/>
      <c r="L57" s="56"/>
      <c r="M57" s="19" t="s">
        <v>173</v>
      </c>
    </row>
    <row r="58">
      <c r="A58" s="67"/>
      <c r="B58" s="16" t="s">
        <v>173</v>
      </c>
      <c r="C58" s="53"/>
      <c r="D58" s="54"/>
      <c r="E58" s="53"/>
      <c r="F58" s="56"/>
      <c r="G58" s="53"/>
      <c r="H58" s="56"/>
      <c r="I58" s="53"/>
      <c r="J58" s="56"/>
      <c r="K58" s="53"/>
      <c r="L58" s="56"/>
      <c r="M58" s="19" t="s">
        <v>173</v>
      </c>
    </row>
    <row r="59">
      <c r="A59" s="67"/>
      <c r="B59" s="57" t="s">
        <v>173</v>
      </c>
      <c r="C59" s="58"/>
      <c r="D59" s="59"/>
      <c r="E59" s="58"/>
      <c r="F59" s="59"/>
      <c r="G59" s="58"/>
      <c r="H59" s="59"/>
      <c r="I59" s="58"/>
      <c r="J59" s="59"/>
      <c r="K59" s="58"/>
      <c r="L59" s="59"/>
      <c r="M59" s="63" t="s">
        <v>173</v>
      </c>
    </row>
    <row r="60">
      <c r="A60" s="67"/>
      <c r="B60" s="73"/>
      <c r="C60" s="64" t="s">
        <v>178</v>
      </c>
      <c r="D60" s="65">
        <v>200.0</v>
      </c>
      <c r="E60" s="64" t="s">
        <v>178</v>
      </c>
      <c r="F60" s="65">
        <v>200.0</v>
      </c>
      <c r="G60" s="64" t="s">
        <v>178</v>
      </c>
      <c r="H60" s="65">
        <v>200.0</v>
      </c>
      <c r="I60" s="64" t="s">
        <v>178</v>
      </c>
      <c r="J60" s="65">
        <v>200.0</v>
      </c>
      <c r="K60" s="64" t="s">
        <v>178</v>
      </c>
      <c r="L60" s="65">
        <v>200.0</v>
      </c>
      <c r="M60" s="32"/>
    </row>
    <row r="61">
      <c r="A61" s="67"/>
      <c r="B61" s="73"/>
      <c r="C61" s="64" t="s">
        <v>179</v>
      </c>
      <c r="D61" s="66">
        <f>SUM(D35:D59)</f>
        <v>194</v>
      </c>
      <c r="E61" s="64" t="s">
        <v>179</v>
      </c>
      <c r="F61" s="66">
        <f>SUM(F35:F59)</f>
        <v>193</v>
      </c>
      <c r="G61" s="64" t="s">
        <v>179</v>
      </c>
      <c r="H61" s="66">
        <f>SUM(H35:H59)</f>
        <v>163</v>
      </c>
      <c r="I61" s="64" t="s">
        <v>179</v>
      </c>
      <c r="J61" s="66">
        <f>SUM(J35:J59)</f>
        <v>186</v>
      </c>
      <c r="K61" s="64" t="s">
        <v>179</v>
      </c>
      <c r="L61" s="66">
        <f>SUM(L35:L59)</f>
        <v>180</v>
      </c>
      <c r="M61" s="32"/>
    </row>
    <row r="62">
      <c r="A62" s="67"/>
      <c r="B62" s="73"/>
      <c r="C62" s="64" t="s">
        <v>180</v>
      </c>
      <c r="D62" s="66">
        <f>D60-D61</f>
        <v>6</v>
      </c>
      <c r="E62" s="64" t="s">
        <v>180</v>
      </c>
      <c r="F62" s="66">
        <f>F60-F61</f>
        <v>7</v>
      </c>
      <c r="G62" s="64" t="s">
        <v>180</v>
      </c>
      <c r="H62" s="66">
        <f>H60-H61</f>
        <v>37</v>
      </c>
      <c r="I62" s="64" t="s">
        <v>180</v>
      </c>
      <c r="J62" s="66">
        <f>J60-J61</f>
        <v>14</v>
      </c>
      <c r="K62" s="64" t="s">
        <v>180</v>
      </c>
      <c r="L62" s="66">
        <f>L60-L61</f>
        <v>20</v>
      </c>
      <c r="M62" s="3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4" max="4" width="17.25"/>
  </cols>
  <sheetData>
    <row r="3">
      <c r="B3" s="74" t="s">
        <v>11</v>
      </c>
      <c r="C3" s="74" t="s">
        <v>182</v>
      </c>
      <c r="D3" s="74" t="s">
        <v>183</v>
      </c>
    </row>
    <row r="4">
      <c r="B4" s="74" t="s">
        <v>184</v>
      </c>
      <c r="C4" s="74">
        <v>37.0</v>
      </c>
      <c r="D4" s="74" t="s">
        <v>185</v>
      </c>
    </row>
    <row r="5">
      <c r="B5" s="74" t="s">
        <v>40</v>
      </c>
      <c r="C5" s="74">
        <v>34.0</v>
      </c>
      <c r="D5" s="74" t="s">
        <v>186</v>
      </c>
    </row>
    <row r="6">
      <c r="B6" s="74" t="s">
        <v>187</v>
      </c>
      <c r="C6" s="74">
        <v>33.0</v>
      </c>
      <c r="D6" s="74" t="s">
        <v>188</v>
      </c>
    </row>
    <row r="7">
      <c r="B7" s="74" t="s">
        <v>50</v>
      </c>
      <c r="C7" s="74">
        <v>25.0</v>
      </c>
      <c r="D7" s="74" t="s">
        <v>186</v>
      </c>
    </row>
    <row r="8">
      <c r="B8" s="74" t="s">
        <v>86</v>
      </c>
      <c r="C8" s="74">
        <v>33.0</v>
      </c>
      <c r="D8" s="74" t="s">
        <v>189</v>
      </c>
    </row>
    <row r="9">
      <c r="B9" s="74" t="s">
        <v>56</v>
      </c>
      <c r="C9" s="74">
        <v>32.0</v>
      </c>
      <c r="D9" s="74" t="s">
        <v>190</v>
      </c>
    </row>
    <row r="10">
      <c r="B10" s="74" t="s">
        <v>191</v>
      </c>
      <c r="C10" s="74">
        <v>29.0</v>
      </c>
      <c r="D10" s="74" t="s">
        <v>190</v>
      </c>
    </row>
    <row r="11">
      <c r="B11" s="74" t="s">
        <v>99</v>
      </c>
      <c r="C11" s="74">
        <v>18.0</v>
      </c>
      <c r="D11" s="74" t="s">
        <v>185</v>
      </c>
    </row>
    <row r="12">
      <c r="B12" s="74" t="s">
        <v>51</v>
      </c>
      <c r="C12" s="74">
        <v>27.0</v>
      </c>
      <c r="D12" s="74" t="s">
        <v>185</v>
      </c>
    </row>
    <row r="13">
      <c r="B13" s="74" t="s">
        <v>49</v>
      </c>
      <c r="C13" s="74">
        <v>29.0</v>
      </c>
      <c r="D13" s="74" t="s">
        <v>192</v>
      </c>
    </row>
    <row r="14">
      <c r="B14" s="74" t="s">
        <v>138</v>
      </c>
      <c r="C14" s="74">
        <v>7.0</v>
      </c>
      <c r="D14" s="74" t="s">
        <v>193</v>
      </c>
    </row>
    <row r="15">
      <c r="B15" s="74" t="s">
        <v>100</v>
      </c>
      <c r="C15" s="74">
        <v>17.0</v>
      </c>
      <c r="D15" s="74" t="s">
        <v>194</v>
      </c>
    </row>
    <row r="16">
      <c r="B16" s="74" t="s">
        <v>63</v>
      </c>
      <c r="C16" s="74">
        <v>7.0</v>
      </c>
      <c r="D16" s="74" t="s">
        <v>188</v>
      </c>
    </row>
    <row r="17">
      <c r="B17" s="74" t="s">
        <v>18</v>
      </c>
      <c r="C17" s="74">
        <v>11.0</v>
      </c>
      <c r="D17" s="74" t="s">
        <v>185</v>
      </c>
    </row>
    <row r="18">
      <c r="B18" s="74" t="s">
        <v>122</v>
      </c>
      <c r="C18" s="74">
        <v>10.0</v>
      </c>
      <c r="D18" s="74" t="s">
        <v>195</v>
      </c>
    </row>
    <row r="19">
      <c r="B19" s="74" t="s">
        <v>72</v>
      </c>
      <c r="C19" s="74">
        <v>14.0</v>
      </c>
      <c r="D19" s="74" t="s">
        <v>194</v>
      </c>
    </row>
    <row r="20">
      <c r="B20" s="74" t="s">
        <v>196</v>
      </c>
      <c r="C20" s="74">
        <v>19.0</v>
      </c>
      <c r="D20" s="74" t="s">
        <v>193</v>
      </c>
    </row>
    <row r="21">
      <c r="B21" s="74" t="s">
        <v>145</v>
      </c>
      <c r="C21" s="74">
        <v>8.0</v>
      </c>
      <c r="D21" s="74" t="s">
        <v>185</v>
      </c>
    </row>
    <row r="22">
      <c r="B22" s="74" t="s">
        <v>64</v>
      </c>
      <c r="C22" s="74">
        <v>10.0</v>
      </c>
      <c r="D22" s="74" t="s">
        <v>195</v>
      </c>
    </row>
    <row r="23">
      <c r="B23" s="74" t="s">
        <v>123</v>
      </c>
      <c r="C23" s="74">
        <v>16.0</v>
      </c>
      <c r="D23" s="74" t="s">
        <v>193</v>
      </c>
    </row>
    <row r="24">
      <c r="B24" s="74" t="s">
        <v>19</v>
      </c>
      <c r="C24" s="74">
        <v>10.0</v>
      </c>
      <c r="D24" s="74" t="s">
        <v>194</v>
      </c>
    </row>
    <row r="25">
      <c r="B25" s="74" t="s">
        <v>153</v>
      </c>
      <c r="C25" s="74">
        <v>8.0</v>
      </c>
      <c r="D25" s="74" t="s">
        <v>186</v>
      </c>
    </row>
    <row r="26">
      <c r="B26" s="74" t="s">
        <v>127</v>
      </c>
      <c r="C26" s="74">
        <v>8.0</v>
      </c>
      <c r="D26" s="74" t="s">
        <v>192</v>
      </c>
    </row>
    <row r="27">
      <c r="B27" s="74" t="s">
        <v>108</v>
      </c>
      <c r="C27" s="74">
        <v>11.0</v>
      </c>
      <c r="D27" s="74" t="s">
        <v>186</v>
      </c>
    </row>
    <row r="28">
      <c r="B28" s="74" t="s">
        <v>130</v>
      </c>
      <c r="C28" s="74">
        <v>8.0</v>
      </c>
      <c r="D28" s="74" t="s">
        <v>195</v>
      </c>
    </row>
    <row r="29">
      <c r="B29" s="74" t="s">
        <v>118</v>
      </c>
      <c r="C29" s="74">
        <v>10.0</v>
      </c>
      <c r="D29" s="74" t="s">
        <v>186</v>
      </c>
    </row>
    <row r="30">
      <c r="B30" s="74" t="s">
        <v>197</v>
      </c>
      <c r="C30" s="74">
        <v>6.0</v>
      </c>
      <c r="D30" s="74" t="s">
        <v>195</v>
      </c>
    </row>
    <row r="31">
      <c r="B31" s="74" t="s">
        <v>110</v>
      </c>
      <c r="C31" s="74">
        <v>8.0</v>
      </c>
      <c r="D31" s="74" t="s">
        <v>194</v>
      </c>
    </row>
    <row r="32">
      <c r="B32" s="74" t="s">
        <v>57</v>
      </c>
      <c r="C32" s="74">
        <v>6.0</v>
      </c>
      <c r="D32" s="74" t="s">
        <v>198</v>
      </c>
    </row>
    <row r="33">
      <c r="B33" s="74" t="s">
        <v>137</v>
      </c>
      <c r="C33" s="74">
        <v>9.0</v>
      </c>
      <c r="D33" s="74" t="s">
        <v>195</v>
      </c>
    </row>
    <row r="34">
      <c r="B34" s="74" t="s">
        <v>131</v>
      </c>
      <c r="C34" s="74">
        <v>8.0</v>
      </c>
      <c r="D34" s="74" t="s">
        <v>193</v>
      </c>
    </row>
    <row r="35">
      <c r="B35" s="74" t="s">
        <v>74</v>
      </c>
      <c r="C35" s="74">
        <v>7.0</v>
      </c>
      <c r="D35" s="74" t="s">
        <v>195</v>
      </c>
    </row>
    <row r="36">
      <c r="B36" s="74" t="s">
        <v>147</v>
      </c>
      <c r="C36" s="74">
        <v>3.0</v>
      </c>
      <c r="D36" s="74" t="s">
        <v>188</v>
      </c>
    </row>
    <row r="37">
      <c r="B37" s="74" t="s">
        <v>54</v>
      </c>
      <c r="C37" s="74">
        <v>11.0</v>
      </c>
      <c r="D37" s="74" t="s">
        <v>195</v>
      </c>
    </row>
    <row r="38">
      <c r="B38" s="74" t="s">
        <v>73</v>
      </c>
      <c r="C38" s="74">
        <v>6.0</v>
      </c>
      <c r="D38" s="74" t="s">
        <v>188</v>
      </c>
    </row>
    <row r="39">
      <c r="B39" s="74" t="s">
        <v>67</v>
      </c>
      <c r="C39" s="74">
        <v>5.0</v>
      </c>
      <c r="D39" s="74" t="s">
        <v>198</v>
      </c>
    </row>
    <row r="40">
      <c r="B40" s="74" t="s">
        <v>143</v>
      </c>
      <c r="C40" s="74">
        <v>6.0</v>
      </c>
      <c r="D40" s="74" t="s">
        <v>192</v>
      </c>
    </row>
    <row r="41">
      <c r="B41" s="74" t="s">
        <v>129</v>
      </c>
      <c r="C41" s="74">
        <v>4.0</v>
      </c>
      <c r="D41" s="74" t="s">
        <v>185</v>
      </c>
    </row>
    <row r="42">
      <c r="B42" s="74" t="s">
        <v>121</v>
      </c>
      <c r="C42" s="74">
        <v>3.0</v>
      </c>
      <c r="D42" s="74" t="s">
        <v>194</v>
      </c>
    </row>
    <row r="43">
      <c r="B43" s="74" t="s">
        <v>21</v>
      </c>
      <c r="C43" s="74">
        <v>5.0</v>
      </c>
      <c r="D43" s="74" t="s">
        <v>195</v>
      </c>
    </row>
    <row r="44">
      <c r="B44" s="74" t="s">
        <v>75</v>
      </c>
      <c r="C44" s="74">
        <v>8.0</v>
      </c>
      <c r="D44" s="74" t="s">
        <v>193</v>
      </c>
    </row>
    <row r="45">
      <c r="B45" s="74" t="s">
        <v>181</v>
      </c>
      <c r="C45" s="74">
        <v>6.0</v>
      </c>
      <c r="D45" s="74" t="s">
        <v>188</v>
      </c>
    </row>
    <row r="46">
      <c r="B46" s="74" t="s">
        <v>35</v>
      </c>
      <c r="C46" s="74">
        <v>3.0</v>
      </c>
      <c r="D46" s="74" t="s">
        <v>195</v>
      </c>
    </row>
    <row r="47">
      <c r="B47" s="74" t="s">
        <v>199</v>
      </c>
      <c r="C47" s="74">
        <v>9.0</v>
      </c>
      <c r="D47" s="74" t="s">
        <v>186</v>
      </c>
    </row>
    <row r="48">
      <c r="B48" s="74" t="s">
        <v>70</v>
      </c>
      <c r="C48" s="74">
        <v>4.0</v>
      </c>
      <c r="D48" s="74" t="s">
        <v>186</v>
      </c>
    </row>
    <row r="49">
      <c r="B49" s="74" t="s">
        <v>200</v>
      </c>
      <c r="C49" s="74">
        <v>4.0</v>
      </c>
      <c r="D49" s="74" t="s">
        <v>192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32" t="s">
        <v>0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 t="s">
        <v>24</v>
      </c>
      <c r="D5" s="76">
        <v>2.0</v>
      </c>
      <c r="E5" s="77">
        <v>45659.0</v>
      </c>
      <c r="F5" s="78">
        <v>7.0</v>
      </c>
      <c r="G5" s="42">
        <v>12.0</v>
      </c>
      <c r="H5" s="79"/>
      <c r="I5" s="80"/>
    </row>
    <row r="6">
      <c r="B6" s="66" t="s">
        <v>13</v>
      </c>
      <c r="C6" s="81" t="s">
        <v>14</v>
      </c>
      <c r="D6" s="64"/>
      <c r="E6" s="82" t="s">
        <v>207</v>
      </c>
      <c r="F6" s="17">
        <v>10.0</v>
      </c>
      <c r="G6" s="32"/>
      <c r="I6" s="83"/>
    </row>
    <row r="7">
      <c r="B7" s="66" t="s">
        <v>13</v>
      </c>
      <c r="C7" s="84"/>
      <c r="D7" s="85"/>
      <c r="E7" s="86"/>
      <c r="F7" s="87"/>
      <c r="G7" s="87"/>
      <c r="H7" s="88"/>
      <c r="I7" s="89"/>
    </row>
    <row r="8">
      <c r="B8" s="66" t="s">
        <v>36</v>
      </c>
      <c r="C8" s="90" t="s">
        <v>37</v>
      </c>
      <c r="D8" s="76">
        <v>27.0</v>
      </c>
      <c r="E8" s="91">
        <v>45690.0</v>
      </c>
      <c r="F8" s="42">
        <v>32.0</v>
      </c>
      <c r="G8" s="92"/>
      <c r="H8" s="79"/>
      <c r="I8" s="80"/>
    </row>
    <row r="9">
      <c r="B9" s="66" t="s">
        <v>36</v>
      </c>
      <c r="C9" s="81" t="s">
        <v>47</v>
      </c>
      <c r="D9" s="93">
        <v>10.0</v>
      </c>
      <c r="E9" s="94">
        <v>45719.0</v>
      </c>
      <c r="F9" s="82">
        <v>15.0</v>
      </c>
      <c r="G9" s="32"/>
      <c r="I9" s="83"/>
    </row>
    <row r="10">
      <c r="B10" s="66" t="s">
        <v>36</v>
      </c>
      <c r="C10" s="81"/>
      <c r="D10" s="64"/>
      <c r="E10" s="82"/>
      <c r="F10" s="82"/>
      <c r="G10" s="32"/>
      <c r="I10" s="83"/>
    </row>
    <row r="11">
      <c r="B11" s="66" t="s">
        <v>36</v>
      </c>
      <c r="C11" s="81"/>
      <c r="D11" s="64"/>
      <c r="E11" s="82"/>
      <c r="F11" s="82"/>
      <c r="G11" s="32"/>
      <c r="I11" s="83"/>
    </row>
    <row r="12">
      <c r="B12" s="66" t="s">
        <v>36</v>
      </c>
      <c r="C12" s="95"/>
      <c r="D12" s="64"/>
      <c r="E12" s="66"/>
      <c r="F12" s="66"/>
      <c r="G12" s="32"/>
      <c r="I12" s="83"/>
    </row>
    <row r="13">
      <c r="B13" s="66" t="s">
        <v>36</v>
      </c>
      <c r="C13" s="84"/>
      <c r="D13" s="96"/>
      <c r="E13" s="97"/>
      <c r="F13" s="86"/>
      <c r="G13" s="86"/>
      <c r="H13" s="88"/>
      <c r="I13" s="89"/>
    </row>
    <row r="14">
      <c r="B14" s="66" t="s">
        <v>84</v>
      </c>
      <c r="C14" s="75" t="s">
        <v>85</v>
      </c>
      <c r="D14" s="76">
        <v>39.0</v>
      </c>
      <c r="E14" s="78" t="s">
        <v>207</v>
      </c>
      <c r="F14" s="78">
        <v>39.0</v>
      </c>
      <c r="G14" s="92"/>
      <c r="H14" s="79"/>
      <c r="I14" s="80"/>
    </row>
    <row r="15">
      <c r="B15" s="66" t="s">
        <v>84</v>
      </c>
      <c r="C15" s="95" t="s">
        <v>95</v>
      </c>
      <c r="D15" s="93">
        <v>15.0</v>
      </c>
      <c r="E15" s="94">
        <v>45719.0</v>
      </c>
      <c r="F15" s="82">
        <v>20.0</v>
      </c>
      <c r="G15" s="66"/>
      <c r="I15" s="83"/>
    </row>
    <row r="16">
      <c r="B16" s="66" t="s">
        <v>84</v>
      </c>
      <c r="C16" s="95" t="s">
        <v>115</v>
      </c>
      <c r="D16" s="64">
        <v>3.0</v>
      </c>
      <c r="E16" s="98">
        <v>45660.0</v>
      </c>
      <c r="F16" s="82">
        <v>8.0</v>
      </c>
      <c r="G16" s="17">
        <v>13.0</v>
      </c>
      <c r="H16" s="74">
        <v>18.0</v>
      </c>
      <c r="I16" s="83"/>
    </row>
    <row r="17">
      <c r="B17" s="66" t="s">
        <v>84</v>
      </c>
      <c r="C17" s="95" t="s">
        <v>105</v>
      </c>
      <c r="D17" s="35">
        <v>13.0</v>
      </c>
      <c r="E17" s="66" t="s">
        <v>207</v>
      </c>
      <c r="F17" s="66">
        <v>13.0</v>
      </c>
      <c r="G17" s="66"/>
      <c r="I17" s="83"/>
    </row>
    <row r="18">
      <c r="B18" s="66" t="s">
        <v>84</v>
      </c>
      <c r="C18" s="95" t="s">
        <v>125</v>
      </c>
      <c r="D18" s="35">
        <v>6.0</v>
      </c>
      <c r="E18" s="66" t="s">
        <v>207</v>
      </c>
      <c r="F18" s="66">
        <v>6.0</v>
      </c>
      <c r="G18" s="66"/>
      <c r="I18" s="83"/>
    </row>
    <row r="19">
      <c r="B19" s="66" t="s">
        <v>84</v>
      </c>
      <c r="C19" s="84"/>
      <c r="D19" s="96"/>
      <c r="E19" s="86"/>
      <c r="F19" s="86"/>
      <c r="G19" s="87"/>
      <c r="H19" s="88"/>
      <c r="I19" s="89"/>
    </row>
    <row r="20">
      <c r="B20" s="66" t="s">
        <v>140</v>
      </c>
      <c r="C20" s="90"/>
      <c r="D20" s="99"/>
      <c r="E20" s="100"/>
      <c r="F20" s="101"/>
      <c r="G20" s="92"/>
      <c r="H20" s="79"/>
      <c r="I20" s="80"/>
    </row>
    <row r="21">
      <c r="B21" s="66" t="s">
        <v>140</v>
      </c>
      <c r="C21" s="81" t="s">
        <v>141</v>
      </c>
      <c r="D21" s="93">
        <v>1.0</v>
      </c>
      <c r="E21" s="82" t="s">
        <v>207</v>
      </c>
      <c r="F21" s="82">
        <v>1.0</v>
      </c>
      <c r="G21" s="32"/>
      <c r="I21" s="83"/>
    </row>
    <row r="22">
      <c r="B22" s="82" t="s">
        <v>140</v>
      </c>
      <c r="C22" s="102"/>
      <c r="D22" s="103"/>
      <c r="E22" s="104"/>
      <c r="F22" s="104"/>
      <c r="G22" s="87"/>
      <c r="H22" s="88"/>
      <c r="I22" s="89"/>
    </row>
    <row r="23">
      <c r="B23" s="66" t="s">
        <v>160</v>
      </c>
      <c r="C23" s="90" t="s">
        <v>208</v>
      </c>
      <c r="D23" s="99">
        <v>1.0</v>
      </c>
      <c r="E23" s="105" t="s">
        <v>173</v>
      </c>
      <c r="F23" s="101"/>
      <c r="G23" s="92"/>
      <c r="H23" s="79"/>
      <c r="I23" s="80"/>
    </row>
    <row r="24">
      <c r="B24" s="66" t="s">
        <v>160</v>
      </c>
      <c r="C24" s="84"/>
      <c r="D24" s="85"/>
      <c r="E24" s="86"/>
      <c r="F24" s="87"/>
      <c r="G24" s="87"/>
      <c r="H24" s="88"/>
      <c r="I24" s="89"/>
    </row>
    <row r="25">
      <c r="B25" s="66" t="s">
        <v>166</v>
      </c>
      <c r="C25" s="95" t="s">
        <v>167</v>
      </c>
      <c r="D25" s="64">
        <v>1.0</v>
      </c>
      <c r="E25" s="82" t="s">
        <v>207</v>
      </c>
      <c r="F25" s="17">
        <v>1.0</v>
      </c>
      <c r="G25" s="32"/>
      <c r="I25" s="83"/>
    </row>
    <row r="26">
      <c r="B26" s="66" t="s">
        <v>166</v>
      </c>
      <c r="C26" s="84"/>
      <c r="D26" s="85"/>
      <c r="E26" s="86"/>
      <c r="F26" s="87"/>
      <c r="G26" s="87"/>
      <c r="H26" s="88"/>
      <c r="I26" s="89"/>
    </row>
    <row r="27">
      <c r="B27" s="82" t="s">
        <v>173</v>
      </c>
      <c r="C27" s="17" t="s">
        <v>174</v>
      </c>
      <c r="D27" s="106"/>
      <c r="E27" s="66"/>
      <c r="F27" s="17">
        <v>1.0</v>
      </c>
      <c r="G27" s="32"/>
    </row>
    <row r="28">
      <c r="B28" s="32"/>
      <c r="C28" s="32"/>
      <c r="D28" s="32"/>
      <c r="E28" s="66" t="s">
        <v>209</v>
      </c>
      <c r="F28" s="66">
        <f>SUM(F4:F27)</f>
        <v>153</v>
      </c>
      <c r="G28" s="66">
        <f>SUM(G4:G26)</f>
        <v>25</v>
      </c>
    </row>
    <row r="29">
      <c r="B29" s="32"/>
      <c r="C29" s="32"/>
      <c r="D29" s="32"/>
      <c r="E29" s="66" t="s">
        <v>210</v>
      </c>
      <c r="F29" s="66">
        <v>200.0</v>
      </c>
      <c r="G29" s="66">
        <v>200.0</v>
      </c>
    </row>
    <row r="30">
      <c r="B30" s="32"/>
      <c r="C30" s="32"/>
      <c r="D30" s="32"/>
      <c r="E30" s="101" t="s">
        <v>211</v>
      </c>
      <c r="F30" s="101">
        <f t="shared" ref="F30:G30" si="1">F29-F28</f>
        <v>47</v>
      </c>
      <c r="G30" s="101">
        <f t="shared" si="1"/>
        <v>175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17" t="s">
        <v>1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 t="s">
        <v>15</v>
      </c>
      <c r="D5" s="76">
        <v>18.0</v>
      </c>
      <c r="E5" s="77">
        <v>45658.0</v>
      </c>
      <c r="F5" s="78">
        <v>23.0</v>
      </c>
      <c r="G5" s="92"/>
      <c r="H5" s="79"/>
      <c r="I5" s="80"/>
    </row>
    <row r="6">
      <c r="B6" s="66" t="s">
        <v>13</v>
      </c>
      <c r="C6" s="81" t="s">
        <v>25</v>
      </c>
      <c r="D6" s="93">
        <v>11.0</v>
      </c>
      <c r="E6" s="82" t="s">
        <v>207</v>
      </c>
      <c r="F6" s="17">
        <v>11.0</v>
      </c>
      <c r="G6" s="32"/>
      <c r="I6" s="83"/>
    </row>
    <row r="7">
      <c r="B7" s="66" t="s">
        <v>13</v>
      </c>
      <c r="C7" s="84"/>
      <c r="D7" s="85"/>
      <c r="E7" s="86"/>
      <c r="F7" s="87"/>
      <c r="G7" s="87"/>
      <c r="H7" s="88"/>
      <c r="I7" s="89"/>
    </row>
    <row r="8">
      <c r="B8" s="66" t="s">
        <v>36</v>
      </c>
      <c r="C8" s="75" t="s">
        <v>38</v>
      </c>
      <c r="D8" s="76">
        <v>32.0</v>
      </c>
      <c r="E8" s="77">
        <v>45659.0</v>
      </c>
      <c r="F8" s="42">
        <v>37.0</v>
      </c>
      <c r="G8" s="42">
        <v>42.0</v>
      </c>
      <c r="H8" s="79"/>
      <c r="I8" s="80"/>
    </row>
    <row r="9">
      <c r="B9" s="66" t="s">
        <v>36</v>
      </c>
      <c r="C9" s="81" t="s">
        <v>48</v>
      </c>
      <c r="D9" s="93">
        <v>16.0</v>
      </c>
      <c r="E9" s="94">
        <v>45690.0</v>
      </c>
      <c r="F9" s="82">
        <v>21.0</v>
      </c>
      <c r="G9" s="32"/>
      <c r="I9" s="83"/>
    </row>
    <row r="10">
      <c r="B10" s="66" t="s">
        <v>36</v>
      </c>
      <c r="C10" s="81" t="s">
        <v>58</v>
      </c>
      <c r="D10" s="93">
        <v>10.0</v>
      </c>
      <c r="E10" s="94">
        <v>45719.0</v>
      </c>
      <c r="F10" s="82">
        <v>15.0</v>
      </c>
      <c r="G10" s="32"/>
      <c r="I10" s="83"/>
    </row>
    <row r="11">
      <c r="B11" s="66" t="s">
        <v>36</v>
      </c>
      <c r="C11" s="81" t="s">
        <v>68</v>
      </c>
      <c r="D11" s="93">
        <v>5.0</v>
      </c>
      <c r="E11" s="98">
        <v>45660.0</v>
      </c>
      <c r="F11" s="82">
        <v>10.0</v>
      </c>
      <c r="G11" s="17">
        <v>15.0</v>
      </c>
      <c r="H11" s="74">
        <v>20.0</v>
      </c>
      <c r="I11" s="83"/>
    </row>
    <row r="12">
      <c r="B12" s="66" t="s">
        <v>36</v>
      </c>
      <c r="C12" s="81" t="s">
        <v>212</v>
      </c>
      <c r="D12" s="93">
        <v>5.0</v>
      </c>
      <c r="E12" s="107" t="s">
        <v>173</v>
      </c>
      <c r="F12" s="66"/>
      <c r="G12" s="32"/>
      <c r="I12" s="83"/>
    </row>
    <row r="13">
      <c r="B13" s="66" t="s">
        <v>36</v>
      </c>
      <c r="C13" s="102" t="s">
        <v>213</v>
      </c>
      <c r="D13" s="103">
        <v>1.0</v>
      </c>
      <c r="E13" s="104" t="s">
        <v>173</v>
      </c>
      <c r="F13" s="104"/>
      <c r="G13" s="86"/>
      <c r="H13" s="88"/>
      <c r="I13" s="89"/>
    </row>
    <row r="14">
      <c r="B14" s="66" t="s">
        <v>84</v>
      </c>
      <c r="C14" s="75" t="s">
        <v>118</v>
      </c>
      <c r="D14" s="76">
        <v>34.0</v>
      </c>
      <c r="E14" s="105" t="s">
        <v>173</v>
      </c>
      <c r="F14" s="78"/>
      <c r="G14" s="92"/>
      <c r="H14" s="79"/>
      <c r="I14" s="80"/>
    </row>
    <row r="15">
      <c r="B15" s="66" t="s">
        <v>84</v>
      </c>
      <c r="C15" s="81" t="s">
        <v>130</v>
      </c>
      <c r="D15" s="93"/>
      <c r="E15" s="94"/>
      <c r="F15" s="82"/>
      <c r="G15" s="66"/>
      <c r="I15" s="83"/>
    </row>
    <row r="16">
      <c r="B16" s="66" t="s">
        <v>84</v>
      </c>
      <c r="C16" s="81" t="s">
        <v>96</v>
      </c>
      <c r="D16" s="93">
        <v>10.0</v>
      </c>
      <c r="E16" s="94">
        <v>45691.0</v>
      </c>
      <c r="F16" s="82">
        <v>15.0</v>
      </c>
      <c r="G16" s="17">
        <v>20.0</v>
      </c>
      <c r="I16" s="83"/>
    </row>
    <row r="17">
      <c r="B17" s="66" t="s">
        <v>84</v>
      </c>
      <c r="C17" s="95"/>
      <c r="D17" s="35"/>
      <c r="E17" s="66"/>
      <c r="F17" s="66"/>
      <c r="G17" s="66"/>
      <c r="I17" s="83"/>
    </row>
    <row r="18">
      <c r="B18" s="66" t="s">
        <v>84</v>
      </c>
      <c r="C18" s="95"/>
      <c r="D18" s="35"/>
      <c r="E18" s="66"/>
      <c r="F18" s="66"/>
      <c r="G18" s="66"/>
      <c r="I18" s="83"/>
    </row>
    <row r="19">
      <c r="B19" s="66" t="s">
        <v>84</v>
      </c>
      <c r="C19" s="84"/>
      <c r="D19" s="96"/>
      <c r="E19" s="86"/>
      <c r="F19" s="86"/>
      <c r="G19" s="87"/>
      <c r="H19" s="88"/>
      <c r="I19" s="89"/>
    </row>
    <row r="20">
      <c r="B20" s="66" t="s">
        <v>140</v>
      </c>
      <c r="C20" s="75"/>
      <c r="D20" s="76"/>
      <c r="E20" s="78"/>
      <c r="F20" s="78"/>
      <c r="G20" s="92"/>
      <c r="H20" s="79"/>
      <c r="I20" s="80"/>
    </row>
    <row r="21">
      <c r="B21" s="66" t="s">
        <v>140</v>
      </c>
      <c r="C21" s="81"/>
      <c r="D21" s="93"/>
      <c r="E21" s="82"/>
      <c r="F21" s="82"/>
      <c r="G21" s="32"/>
      <c r="I21" s="83"/>
    </row>
    <row r="22">
      <c r="B22" s="82" t="s">
        <v>140</v>
      </c>
      <c r="C22" s="102"/>
      <c r="D22" s="103"/>
      <c r="E22" s="104"/>
      <c r="F22" s="104"/>
      <c r="G22" s="87"/>
      <c r="H22" s="88"/>
      <c r="I22" s="89"/>
    </row>
    <row r="23">
      <c r="B23" s="66" t="s">
        <v>160</v>
      </c>
      <c r="C23" s="75" t="s">
        <v>214</v>
      </c>
      <c r="D23" s="76">
        <v>1.0</v>
      </c>
      <c r="E23" s="78" t="s">
        <v>207</v>
      </c>
      <c r="F23" s="78">
        <v>1.0</v>
      </c>
      <c r="G23" s="92"/>
      <c r="H23" s="79"/>
      <c r="I23" s="80"/>
      <c r="J23" s="74" t="s">
        <v>215</v>
      </c>
    </row>
    <row r="24">
      <c r="B24" s="66" t="s">
        <v>160</v>
      </c>
      <c r="C24" s="84"/>
      <c r="D24" s="85"/>
      <c r="E24" s="104"/>
      <c r="F24" s="87"/>
      <c r="G24" s="87"/>
      <c r="H24" s="88"/>
      <c r="I24" s="89"/>
    </row>
    <row r="25">
      <c r="B25" s="66" t="s">
        <v>166</v>
      </c>
      <c r="C25" s="81" t="s">
        <v>216</v>
      </c>
      <c r="D25" s="93">
        <v>1.0</v>
      </c>
      <c r="E25" s="107" t="s">
        <v>173</v>
      </c>
      <c r="F25" s="17"/>
      <c r="G25" s="32"/>
      <c r="I25" s="83"/>
    </row>
    <row r="26">
      <c r="B26" s="66" t="s">
        <v>166</v>
      </c>
      <c r="C26" s="84"/>
      <c r="D26" s="85"/>
      <c r="E26" s="86"/>
      <c r="F26" s="87"/>
      <c r="G26" s="87"/>
      <c r="H26" s="88"/>
      <c r="I26" s="89"/>
    </row>
    <row r="27">
      <c r="B27" s="82" t="s">
        <v>173</v>
      </c>
      <c r="C27" s="17" t="s">
        <v>130</v>
      </c>
      <c r="D27" s="106"/>
      <c r="E27" s="66"/>
      <c r="F27" s="17">
        <v>12.0</v>
      </c>
      <c r="G27" s="32"/>
    </row>
    <row r="28">
      <c r="B28" s="82" t="s">
        <v>173</v>
      </c>
      <c r="C28" s="17" t="s">
        <v>154</v>
      </c>
      <c r="D28" s="106"/>
      <c r="E28" s="66"/>
      <c r="F28" s="17">
        <v>8.0</v>
      </c>
      <c r="G28" s="32"/>
    </row>
    <row r="29">
      <c r="B29" s="82" t="s">
        <v>173</v>
      </c>
      <c r="C29" s="17" t="s">
        <v>48</v>
      </c>
      <c r="D29" s="106"/>
      <c r="E29" s="66"/>
      <c r="F29" s="17">
        <v>11.0</v>
      </c>
      <c r="G29" s="32"/>
    </row>
    <row r="30">
      <c r="B30" s="82" t="s">
        <v>173</v>
      </c>
      <c r="C30" s="17" t="s">
        <v>213</v>
      </c>
      <c r="D30" s="106"/>
      <c r="E30" s="66"/>
      <c r="F30" s="17">
        <v>1.0</v>
      </c>
      <c r="G30" s="32"/>
    </row>
    <row r="31">
      <c r="B31" s="32"/>
      <c r="C31" s="32"/>
      <c r="D31" s="32"/>
      <c r="E31" s="66" t="s">
        <v>209</v>
      </c>
      <c r="F31" s="66">
        <f>SUM(F4:F30)</f>
        <v>165</v>
      </c>
      <c r="G31" s="66">
        <f>SUM(G4:G26)</f>
        <v>77</v>
      </c>
    </row>
    <row r="32">
      <c r="B32" s="32"/>
      <c r="C32" s="32"/>
      <c r="D32" s="32"/>
      <c r="E32" s="66" t="s">
        <v>210</v>
      </c>
      <c r="F32" s="66">
        <v>200.0</v>
      </c>
      <c r="G32" s="66">
        <v>200.0</v>
      </c>
    </row>
    <row r="33">
      <c r="B33" s="32"/>
      <c r="C33" s="32"/>
      <c r="D33" s="32"/>
      <c r="E33" s="101" t="s">
        <v>211</v>
      </c>
      <c r="F33" s="101">
        <f t="shared" ref="F33:G33" si="1">F32-F31</f>
        <v>35</v>
      </c>
      <c r="G33" s="101">
        <f t="shared" si="1"/>
        <v>123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17" t="s">
        <v>2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 t="s">
        <v>16</v>
      </c>
      <c r="D5" s="76">
        <v>11.0</v>
      </c>
      <c r="E5" s="78" t="s">
        <v>207</v>
      </c>
      <c r="F5" s="78">
        <v>11.0</v>
      </c>
      <c r="G5" s="42"/>
      <c r="H5" s="79"/>
      <c r="I5" s="80"/>
    </row>
    <row r="6">
      <c r="B6" s="66" t="s">
        <v>13</v>
      </c>
      <c r="C6" s="81" t="s">
        <v>217</v>
      </c>
      <c r="D6" s="93">
        <v>8.0</v>
      </c>
      <c r="E6" s="107" t="s">
        <v>173</v>
      </c>
      <c r="F6" s="17"/>
      <c r="G6" s="32"/>
      <c r="I6" s="83"/>
    </row>
    <row r="7">
      <c r="B7" s="66" t="s">
        <v>13</v>
      </c>
      <c r="C7" s="84"/>
      <c r="D7" s="85"/>
      <c r="E7" s="86"/>
      <c r="F7" s="87"/>
      <c r="G7" s="87"/>
      <c r="H7" s="88"/>
      <c r="I7" s="89"/>
    </row>
    <row r="8">
      <c r="B8" s="66" t="s">
        <v>36</v>
      </c>
      <c r="C8" s="75" t="s">
        <v>59</v>
      </c>
      <c r="D8" s="76">
        <v>11.0</v>
      </c>
      <c r="E8" s="91">
        <v>45690.0</v>
      </c>
      <c r="F8" s="42">
        <v>16.0</v>
      </c>
      <c r="G8" s="42"/>
      <c r="H8" s="79"/>
      <c r="I8" s="80"/>
    </row>
    <row r="9">
      <c r="B9" s="66" t="s">
        <v>36</v>
      </c>
      <c r="C9" s="81" t="s">
        <v>73</v>
      </c>
      <c r="D9" s="93">
        <v>22.0</v>
      </c>
      <c r="E9" s="107" t="s">
        <v>173</v>
      </c>
      <c r="F9" s="82"/>
      <c r="G9" s="32"/>
      <c r="I9" s="83"/>
    </row>
    <row r="10">
      <c r="B10" s="66" t="s">
        <v>36</v>
      </c>
      <c r="C10" s="81" t="s">
        <v>69</v>
      </c>
      <c r="D10" s="93">
        <v>7.0</v>
      </c>
      <c r="E10" s="82" t="s">
        <v>207</v>
      </c>
      <c r="F10" s="82">
        <v>7.0</v>
      </c>
      <c r="G10" s="17"/>
      <c r="I10" s="83"/>
    </row>
    <row r="11">
      <c r="B11" s="66" t="s">
        <v>36</v>
      </c>
      <c r="C11" s="81" t="s">
        <v>218</v>
      </c>
      <c r="D11" s="93">
        <v>2.0</v>
      </c>
      <c r="E11" s="107" t="s">
        <v>173</v>
      </c>
      <c r="F11" s="82"/>
      <c r="G11" s="32"/>
      <c r="I11" s="83"/>
    </row>
    <row r="12">
      <c r="B12" s="66" t="s">
        <v>36</v>
      </c>
      <c r="C12" s="81" t="s">
        <v>39</v>
      </c>
      <c r="D12" s="93">
        <v>35.0</v>
      </c>
      <c r="E12" s="82" t="s">
        <v>207</v>
      </c>
      <c r="F12" s="82">
        <v>35.0</v>
      </c>
      <c r="G12" s="17"/>
      <c r="I12" s="83"/>
    </row>
    <row r="13">
      <c r="B13" s="66" t="s">
        <v>36</v>
      </c>
      <c r="C13" s="102"/>
      <c r="D13" s="103"/>
      <c r="E13" s="104"/>
      <c r="F13" s="104"/>
      <c r="G13" s="104"/>
      <c r="H13" s="88"/>
      <c r="I13" s="89"/>
    </row>
    <row r="14">
      <c r="B14" s="66" t="s">
        <v>84</v>
      </c>
      <c r="C14" s="75" t="s">
        <v>87</v>
      </c>
      <c r="D14" s="76">
        <v>17.0</v>
      </c>
      <c r="E14" s="78" t="s">
        <v>207</v>
      </c>
      <c r="F14" s="78">
        <v>17.0</v>
      </c>
      <c r="G14" s="92"/>
      <c r="H14" s="79"/>
      <c r="I14" s="80"/>
    </row>
    <row r="15">
      <c r="B15" s="66" t="s">
        <v>84</v>
      </c>
      <c r="C15" s="81" t="s">
        <v>133</v>
      </c>
      <c r="D15" s="93">
        <v>19.0</v>
      </c>
      <c r="E15" s="107" t="s">
        <v>173</v>
      </c>
      <c r="F15" s="82"/>
      <c r="G15" s="66"/>
      <c r="I15" s="83"/>
    </row>
    <row r="16">
      <c r="B16" s="66" t="s">
        <v>84</v>
      </c>
      <c r="C16" s="81" t="s">
        <v>97</v>
      </c>
      <c r="D16" s="93">
        <v>12.0</v>
      </c>
      <c r="E16" s="94">
        <v>45691.0</v>
      </c>
      <c r="F16" s="82">
        <v>17.0</v>
      </c>
      <c r="G16" s="17">
        <v>22.0</v>
      </c>
      <c r="I16" s="83"/>
    </row>
    <row r="17">
      <c r="B17" s="66" t="s">
        <v>84</v>
      </c>
      <c r="C17" s="81" t="s">
        <v>117</v>
      </c>
      <c r="D17" s="35">
        <v>3.0</v>
      </c>
      <c r="E17" s="98">
        <v>45658.0</v>
      </c>
      <c r="F17" s="82">
        <v>8.0</v>
      </c>
      <c r="G17" s="66"/>
      <c r="I17" s="83"/>
    </row>
    <row r="18">
      <c r="B18" s="66" t="s">
        <v>84</v>
      </c>
      <c r="C18" s="81" t="s">
        <v>107</v>
      </c>
      <c r="D18" s="35">
        <v>12.0</v>
      </c>
      <c r="E18" s="82" t="s">
        <v>207</v>
      </c>
      <c r="F18" s="82">
        <v>12.0</v>
      </c>
      <c r="G18" s="66"/>
      <c r="I18" s="83"/>
    </row>
    <row r="19">
      <c r="B19" s="66" t="s">
        <v>84</v>
      </c>
      <c r="C19" s="102" t="s">
        <v>135</v>
      </c>
      <c r="D19" s="103">
        <v>2.0</v>
      </c>
      <c r="E19" s="108">
        <v>45658.0</v>
      </c>
      <c r="F19" s="104">
        <v>7.0</v>
      </c>
      <c r="G19" s="87"/>
      <c r="H19" s="88"/>
      <c r="I19" s="89"/>
    </row>
    <row r="20">
      <c r="B20" s="66" t="s">
        <v>140</v>
      </c>
      <c r="C20" s="75" t="s">
        <v>143</v>
      </c>
      <c r="D20" s="76">
        <v>15.0</v>
      </c>
      <c r="E20" s="105" t="s">
        <v>173</v>
      </c>
      <c r="F20" s="78"/>
      <c r="G20" s="92"/>
      <c r="H20" s="79"/>
      <c r="I20" s="80"/>
    </row>
    <row r="21">
      <c r="B21" s="66" t="s">
        <v>140</v>
      </c>
      <c r="C21" s="81"/>
      <c r="D21" s="93"/>
      <c r="E21" s="82"/>
      <c r="F21" s="82"/>
      <c r="G21" s="32"/>
      <c r="I21" s="83"/>
    </row>
    <row r="22">
      <c r="B22" s="82" t="s">
        <v>140</v>
      </c>
      <c r="C22" s="102"/>
      <c r="D22" s="103"/>
      <c r="E22" s="104"/>
      <c r="F22" s="104"/>
      <c r="G22" s="87"/>
      <c r="H22" s="88"/>
      <c r="I22" s="89"/>
    </row>
    <row r="23">
      <c r="B23" s="66" t="s">
        <v>160</v>
      </c>
      <c r="C23" s="75" t="s">
        <v>219</v>
      </c>
      <c r="D23" s="76">
        <v>3.0</v>
      </c>
      <c r="E23" s="105" t="s">
        <v>173</v>
      </c>
      <c r="F23" s="78"/>
      <c r="G23" s="92"/>
      <c r="H23" s="79"/>
      <c r="I23" s="80"/>
    </row>
    <row r="24">
      <c r="B24" s="66" t="s">
        <v>160</v>
      </c>
      <c r="C24" s="84"/>
      <c r="D24" s="85"/>
      <c r="E24" s="104"/>
      <c r="F24" s="87"/>
      <c r="G24" s="87"/>
      <c r="H24" s="88"/>
      <c r="I24" s="89"/>
    </row>
    <row r="25">
      <c r="B25" s="66" t="s">
        <v>166</v>
      </c>
      <c r="C25" s="81" t="s">
        <v>220</v>
      </c>
      <c r="D25" s="93">
        <v>1.0</v>
      </c>
      <c r="E25" s="107" t="s">
        <v>173</v>
      </c>
      <c r="F25" s="17"/>
      <c r="G25" s="32"/>
      <c r="I25" s="83"/>
    </row>
    <row r="26">
      <c r="B26" s="66" t="s">
        <v>166</v>
      </c>
      <c r="C26" s="84"/>
      <c r="D26" s="85"/>
      <c r="E26" s="86"/>
      <c r="F26" s="87"/>
      <c r="G26" s="87"/>
      <c r="H26" s="88"/>
      <c r="I26" s="89"/>
    </row>
    <row r="27">
      <c r="B27" s="82" t="s">
        <v>173</v>
      </c>
      <c r="C27" s="17" t="s">
        <v>175</v>
      </c>
      <c r="D27" s="106"/>
      <c r="E27" s="66"/>
      <c r="F27" s="17">
        <v>10.0</v>
      </c>
      <c r="G27" s="32"/>
    </row>
    <row r="28">
      <c r="B28" s="32"/>
      <c r="C28" s="32"/>
      <c r="D28" s="32"/>
      <c r="E28" s="66" t="s">
        <v>209</v>
      </c>
      <c r="F28" s="66">
        <f>SUM(F4:F27)</f>
        <v>140</v>
      </c>
      <c r="G28" s="66">
        <f>SUM(G4:G26)</f>
        <v>22</v>
      </c>
    </row>
    <row r="29">
      <c r="B29" s="32"/>
      <c r="C29" s="32"/>
      <c r="D29" s="32"/>
      <c r="E29" s="66" t="s">
        <v>210</v>
      </c>
      <c r="F29" s="66">
        <v>200.0</v>
      </c>
      <c r="G29" s="66">
        <v>200.0</v>
      </c>
    </row>
    <row r="30">
      <c r="B30" s="32"/>
      <c r="C30" s="32"/>
      <c r="D30" s="32"/>
      <c r="E30" s="101" t="s">
        <v>211</v>
      </c>
      <c r="F30" s="101">
        <f t="shared" ref="F30:G30" si="1">F29-F28</f>
        <v>60</v>
      </c>
      <c r="G30" s="101">
        <f t="shared" si="1"/>
        <v>178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17" t="s">
        <v>3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 t="s">
        <v>17</v>
      </c>
      <c r="D5" s="76">
        <v>11.0</v>
      </c>
      <c r="E5" s="78" t="s">
        <v>207</v>
      </c>
      <c r="F5" s="78">
        <v>11.0</v>
      </c>
      <c r="G5" s="42"/>
      <c r="H5" s="79"/>
      <c r="I5" s="80"/>
    </row>
    <row r="6">
      <c r="B6" s="66" t="s">
        <v>13</v>
      </c>
      <c r="C6" s="81" t="s">
        <v>27</v>
      </c>
      <c r="D6" s="93">
        <v>3.0</v>
      </c>
      <c r="E6" s="82" t="s">
        <v>207</v>
      </c>
      <c r="F6" s="17">
        <v>3.0</v>
      </c>
      <c r="G6" s="32"/>
      <c r="I6" s="83"/>
    </row>
    <row r="7">
      <c r="B7" s="66" t="s">
        <v>13</v>
      </c>
      <c r="C7" s="84" t="s">
        <v>221</v>
      </c>
      <c r="D7" s="85">
        <v>1.0</v>
      </c>
      <c r="E7" s="109" t="s">
        <v>173</v>
      </c>
      <c r="F7" s="87"/>
      <c r="G7" s="87"/>
      <c r="H7" s="88"/>
      <c r="I7" s="89"/>
    </row>
    <row r="8">
      <c r="B8" s="66" t="s">
        <v>36</v>
      </c>
      <c r="C8" s="75" t="s">
        <v>222</v>
      </c>
      <c r="D8" s="76">
        <v>8.0</v>
      </c>
      <c r="E8" s="78" t="s">
        <v>173</v>
      </c>
      <c r="F8" s="42"/>
      <c r="G8" s="42"/>
      <c r="H8" s="79"/>
      <c r="I8" s="80"/>
    </row>
    <row r="9">
      <c r="B9" s="66" t="s">
        <v>36</v>
      </c>
      <c r="C9" s="81" t="s">
        <v>223</v>
      </c>
      <c r="D9" s="93">
        <v>1.0</v>
      </c>
      <c r="E9" s="107" t="s">
        <v>173</v>
      </c>
      <c r="F9" s="82"/>
      <c r="G9" s="32"/>
      <c r="I9" s="83"/>
    </row>
    <row r="10">
      <c r="B10" s="66" t="s">
        <v>36</v>
      </c>
      <c r="C10" s="81" t="s">
        <v>176</v>
      </c>
      <c r="D10" s="93">
        <v>15.0</v>
      </c>
      <c r="E10" s="82" t="s">
        <v>173</v>
      </c>
      <c r="F10" s="82"/>
      <c r="G10" s="17"/>
      <c r="I10" s="83"/>
    </row>
    <row r="11">
      <c r="B11" s="66" t="s">
        <v>36</v>
      </c>
      <c r="C11" s="81" t="s">
        <v>78</v>
      </c>
      <c r="D11" s="93">
        <v>2.0</v>
      </c>
      <c r="E11" s="82" t="s">
        <v>207</v>
      </c>
      <c r="F11" s="82">
        <v>2.0</v>
      </c>
      <c r="G11" s="32"/>
      <c r="I11" s="83"/>
    </row>
    <row r="12">
      <c r="B12" s="66" t="s">
        <v>36</v>
      </c>
      <c r="C12" s="81"/>
      <c r="D12" s="93"/>
      <c r="E12" s="82"/>
      <c r="F12" s="82"/>
      <c r="G12" s="17"/>
      <c r="I12" s="83"/>
    </row>
    <row r="13">
      <c r="B13" s="66" t="s">
        <v>36</v>
      </c>
      <c r="C13" s="102"/>
      <c r="D13" s="103"/>
      <c r="E13" s="104"/>
      <c r="F13" s="104"/>
      <c r="G13" s="104"/>
      <c r="H13" s="88"/>
      <c r="I13" s="89"/>
    </row>
    <row r="14">
      <c r="B14" s="66" t="s">
        <v>84</v>
      </c>
      <c r="C14" s="75" t="s">
        <v>88</v>
      </c>
      <c r="D14" s="76">
        <v>25.0</v>
      </c>
      <c r="E14" s="91">
        <v>45719.0</v>
      </c>
      <c r="F14" s="78">
        <v>30.0</v>
      </c>
      <c r="G14" s="92"/>
      <c r="H14" s="79"/>
      <c r="I14" s="80"/>
    </row>
    <row r="15">
      <c r="B15" s="66" t="s">
        <v>84</v>
      </c>
      <c r="C15" s="81" t="s">
        <v>127</v>
      </c>
      <c r="D15" s="93">
        <v>18.0</v>
      </c>
      <c r="E15" s="107" t="s">
        <v>173</v>
      </c>
      <c r="F15" s="82"/>
      <c r="G15" s="66"/>
      <c r="I15" s="83"/>
    </row>
    <row r="16">
      <c r="B16" s="66" t="s">
        <v>84</v>
      </c>
      <c r="C16" s="81" t="s">
        <v>98</v>
      </c>
      <c r="D16" s="93">
        <v>15.0</v>
      </c>
      <c r="E16" s="94">
        <v>45719.0</v>
      </c>
      <c r="F16" s="82">
        <v>20.0</v>
      </c>
      <c r="G16" s="17"/>
      <c r="I16" s="83"/>
    </row>
    <row r="17">
      <c r="B17" s="66" t="s">
        <v>84</v>
      </c>
      <c r="C17" s="81" t="s">
        <v>128</v>
      </c>
      <c r="D17" s="35">
        <v>3.0</v>
      </c>
      <c r="E17" s="82" t="s">
        <v>207</v>
      </c>
      <c r="F17" s="82">
        <v>3.0</v>
      </c>
      <c r="G17" s="66"/>
      <c r="I17" s="83"/>
    </row>
    <row r="18">
      <c r="B18" s="66" t="s">
        <v>84</v>
      </c>
      <c r="C18" s="81"/>
      <c r="D18" s="35"/>
      <c r="E18" s="82"/>
      <c r="F18" s="82"/>
      <c r="G18" s="66"/>
      <c r="I18" s="83"/>
    </row>
    <row r="19">
      <c r="B19" s="66" t="s">
        <v>84</v>
      </c>
      <c r="C19" s="102"/>
      <c r="D19" s="103"/>
      <c r="E19" s="104"/>
      <c r="F19" s="86"/>
      <c r="G19" s="87"/>
      <c r="H19" s="88"/>
      <c r="I19" s="89"/>
    </row>
    <row r="20">
      <c r="B20" s="66" t="s">
        <v>140</v>
      </c>
      <c r="C20" s="75" t="s">
        <v>144</v>
      </c>
      <c r="D20" s="76">
        <v>12.0</v>
      </c>
      <c r="E20" s="78" t="s">
        <v>207</v>
      </c>
      <c r="F20" s="78">
        <v>12.0</v>
      </c>
      <c r="G20" s="92"/>
      <c r="H20" s="79"/>
      <c r="I20" s="80"/>
    </row>
    <row r="21">
      <c r="B21" s="66" t="s">
        <v>140</v>
      </c>
      <c r="C21" s="81" t="s">
        <v>157</v>
      </c>
      <c r="D21" s="93">
        <v>1.0</v>
      </c>
      <c r="E21" s="107" t="s">
        <v>173</v>
      </c>
      <c r="F21" s="82"/>
      <c r="G21" s="32"/>
      <c r="I21" s="83"/>
    </row>
    <row r="22">
      <c r="B22" s="82" t="s">
        <v>140</v>
      </c>
      <c r="C22" s="102"/>
      <c r="D22" s="103"/>
      <c r="E22" s="104"/>
      <c r="F22" s="104"/>
      <c r="G22" s="87"/>
      <c r="H22" s="88"/>
      <c r="I22" s="89"/>
    </row>
    <row r="23">
      <c r="B23" s="66" t="s">
        <v>160</v>
      </c>
      <c r="C23" s="75" t="s">
        <v>224</v>
      </c>
      <c r="D23" s="76">
        <v>1.0</v>
      </c>
      <c r="E23" s="105" t="s">
        <v>173</v>
      </c>
      <c r="F23" s="78"/>
      <c r="G23" s="92"/>
      <c r="H23" s="79"/>
      <c r="I23" s="80"/>
    </row>
    <row r="24">
      <c r="B24" s="66" t="s">
        <v>160</v>
      </c>
      <c r="C24" s="84"/>
      <c r="D24" s="85"/>
      <c r="E24" s="104"/>
      <c r="F24" s="87"/>
      <c r="G24" s="87"/>
      <c r="H24" s="88"/>
      <c r="I24" s="89"/>
    </row>
    <row r="25">
      <c r="B25" s="66" t="s">
        <v>166</v>
      </c>
      <c r="C25" s="81" t="s">
        <v>225</v>
      </c>
      <c r="D25" s="93">
        <v>1.0</v>
      </c>
      <c r="E25" s="107" t="s">
        <v>173</v>
      </c>
      <c r="F25" s="17"/>
      <c r="G25" s="32"/>
      <c r="I25" s="83"/>
    </row>
    <row r="26">
      <c r="B26" s="66" t="s">
        <v>166</v>
      </c>
      <c r="C26" s="84"/>
      <c r="D26" s="85"/>
      <c r="E26" s="86"/>
      <c r="F26" s="87"/>
      <c r="G26" s="87"/>
      <c r="H26" s="88"/>
      <c r="I26" s="89"/>
    </row>
    <row r="27">
      <c r="B27" s="66"/>
      <c r="C27" s="17" t="s">
        <v>176</v>
      </c>
      <c r="D27" s="106"/>
      <c r="E27" s="66"/>
      <c r="F27" s="17">
        <v>8.0</v>
      </c>
      <c r="G27" s="32"/>
    </row>
    <row r="28">
      <c r="B28" s="66"/>
      <c r="C28" s="17" t="s">
        <v>226</v>
      </c>
      <c r="D28" s="106"/>
      <c r="E28" s="66"/>
      <c r="F28" s="17">
        <v>7.0</v>
      </c>
      <c r="G28" s="32"/>
    </row>
    <row r="29">
      <c r="B29" s="66"/>
      <c r="C29" s="17"/>
      <c r="D29" s="106"/>
      <c r="E29" s="66"/>
      <c r="F29" s="17"/>
      <c r="G29" s="32"/>
    </row>
    <row r="30">
      <c r="B30" s="32"/>
      <c r="C30" s="17"/>
      <c r="D30" s="32"/>
      <c r="E30" s="66" t="s">
        <v>209</v>
      </c>
      <c r="F30" s="66">
        <f>SUM(F4:F29)</f>
        <v>96</v>
      </c>
      <c r="G30" s="66">
        <f>SUM(G4:G26)</f>
        <v>0</v>
      </c>
    </row>
    <row r="31">
      <c r="B31" s="32"/>
      <c r="C31" s="32"/>
      <c r="D31" s="32"/>
      <c r="E31" s="66" t="s">
        <v>210</v>
      </c>
      <c r="F31" s="66">
        <v>200.0</v>
      </c>
      <c r="G31" s="66">
        <v>200.0</v>
      </c>
    </row>
    <row r="32">
      <c r="B32" s="32"/>
      <c r="C32" s="32"/>
      <c r="D32" s="32"/>
      <c r="E32" s="101" t="s">
        <v>211</v>
      </c>
      <c r="F32" s="101">
        <f t="shared" ref="F32:G32" si="1">F31-F30</f>
        <v>104</v>
      </c>
      <c r="G32" s="101">
        <f t="shared" si="1"/>
        <v>200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17" t="s">
        <v>4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 t="s">
        <v>227</v>
      </c>
      <c r="D5" s="76">
        <v>3.0</v>
      </c>
      <c r="E5" s="105" t="s">
        <v>173</v>
      </c>
      <c r="F5" s="78"/>
      <c r="G5" s="42"/>
      <c r="H5" s="79"/>
      <c r="I5" s="80"/>
    </row>
    <row r="6">
      <c r="B6" s="66" t="s">
        <v>13</v>
      </c>
      <c r="C6" s="81"/>
      <c r="D6" s="93"/>
      <c r="E6" s="82"/>
      <c r="F6" s="17"/>
      <c r="G6" s="32"/>
      <c r="I6" s="83"/>
    </row>
    <row r="7">
      <c r="B7" s="66" t="s">
        <v>13</v>
      </c>
      <c r="C7" s="84"/>
      <c r="D7" s="85"/>
      <c r="E7" s="86"/>
      <c r="F7" s="87"/>
      <c r="G7" s="87"/>
      <c r="H7" s="88"/>
      <c r="I7" s="89"/>
    </row>
    <row r="8">
      <c r="B8" s="66" t="s">
        <v>36</v>
      </c>
      <c r="C8" s="75" t="s">
        <v>61</v>
      </c>
      <c r="D8" s="76">
        <v>14.0</v>
      </c>
      <c r="E8" s="77">
        <v>45658.0</v>
      </c>
      <c r="F8" s="42">
        <v>19.0</v>
      </c>
      <c r="G8" s="42"/>
      <c r="H8" s="79"/>
      <c r="I8" s="80"/>
    </row>
    <row r="9">
      <c r="B9" s="66" t="s">
        <v>36</v>
      </c>
      <c r="C9" s="81" t="s">
        <v>71</v>
      </c>
      <c r="D9" s="93">
        <v>13.0</v>
      </c>
      <c r="E9" s="82" t="s">
        <v>207</v>
      </c>
      <c r="F9" s="82">
        <v>13.0</v>
      </c>
      <c r="G9" s="32"/>
      <c r="I9" s="83"/>
    </row>
    <row r="10">
      <c r="B10" s="66" t="s">
        <v>36</v>
      </c>
      <c r="C10" s="81" t="s">
        <v>228</v>
      </c>
      <c r="D10" s="93">
        <v>6.0</v>
      </c>
      <c r="E10" s="82" t="s">
        <v>207</v>
      </c>
      <c r="F10" s="82">
        <v>6.0</v>
      </c>
      <c r="G10" s="17"/>
      <c r="I10" s="83"/>
      <c r="J10" s="74" t="s">
        <v>229</v>
      </c>
    </row>
    <row r="11">
      <c r="B11" s="66" t="s">
        <v>36</v>
      </c>
      <c r="C11" s="81"/>
      <c r="D11" s="93"/>
      <c r="E11" s="82"/>
      <c r="F11" s="82"/>
      <c r="G11" s="32"/>
      <c r="I11" s="83"/>
    </row>
    <row r="12">
      <c r="B12" s="66" t="s">
        <v>36</v>
      </c>
      <c r="C12" s="81"/>
      <c r="D12" s="93"/>
      <c r="E12" s="82"/>
      <c r="F12" s="82"/>
      <c r="G12" s="17"/>
      <c r="I12" s="83"/>
    </row>
    <row r="13">
      <c r="B13" s="66" t="s">
        <v>36</v>
      </c>
      <c r="C13" s="102"/>
      <c r="D13" s="103"/>
      <c r="E13" s="104"/>
      <c r="F13" s="104"/>
      <c r="G13" s="104"/>
      <c r="H13" s="88"/>
      <c r="I13" s="89"/>
    </row>
    <row r="14">
      <c r="B14" s="66" t="s">
        <v>84</v>
      </c>
      <c r="C14" s="75" t="s">
        <v>89</v>
      </c>
      <c r="D14" s="76">
        <v>29.0</v>
      </c>
      <c r="E14" s="78" t="s">
        <v>207</v>
      </c>
      <c r="F14" s="78">
        <v>29.0</v>
      </c>
      <c r="G14" s="92"/>
      <c r="H14" s="79"/>
      <c r="I14" s="80"/>
    </row>
    <row r="15">
      <c r="B15" s="66" t="s">
        <v>84</v>
      </c>
      <c r="C15" s="81" t="s">
        <v>230</v>
      </c>
      <c r="D15" s="93">
        <v>14.0</v>
      </c>
      <c r="E15" s="107" t="s">
        <v>173</v>
      </c>
      <c r="F15" s="82"/>
      <c r="G15" s="66"/>
      <c r="I15" s="83"/>
    </row>
    <row r="16">
      <c r="B16" s="66" t="s">
        <v>84</v>
      </c>
      <c r="C16" s="81" t="s">
        <v>231</v>
      </c>
      <c r="D16" s="93">
        <v>14.0</v>
      </c>
      <c r="E16" s="107" t="s">
        <v>173</v>
      </c>
      <c r="F16" s="82"/>
      <c r="G16" s="17"/>
      <c r="I16" s="83"/>
    </row>
    <row r="17">
      <c r="B17" s="66" t="s">
        <v>84</v>
      </c>
      <c r="C17" s="81" t="s">
        <v>109</v>
      </c>
      <c r="D17" s="35">
        <v>7.0</v>
      </c>
      <c r="E17" s="82" t="s">
        <v>207</v>
      </c>
      <c r="F17" s="82">
        <v>7.0</v>
      </c>
      <c r="G17" s="66"/>
      <c r="I17" s="83"/>
    </row>
    <row r="18">
      <c r="B18" s="66" t="s">
        <v>84</v>
      </c>
      <c r="C18" s="81" t="s">
        <v>119</v>
      </c>
      <c r="D18" s="35">
        <v>4.0</v>
      </c>
      <c r="E18" s="82" t="s">
        <v>207</v>
      </c>
      <c r="F18" s="82">
        <v>4.0</v>
      </c>
      <c r="G18" s="66"/>
      <c r="I18" s="83"/>
    </row>
    <row r="19">
      <c r="B19" s="66" t="s">
        <v>84</v>
      </c>
      <c r="C19" s="102" t="s">
        <v>232</v>
      </c>
      <c r="D19" s="103">
        <v>5.0</v>
      </c>
      <c r="E19" s="109" t="s">
        <v>173</v>
      </c>
      <c r="F19" s="86"/>
      <c r="G19" s="87"/>
      <c r="H19" s="88"/>
      <c r="I19" s="89"/>
    </row>
    <row r="20">
      <c r="B20" s="66" t="s">
        <v>140</v>
      </c>
      <c r="C20" s="75" t="s">
        <v>233</v>
      </c>
      <c r="D20" s="76">
        <v>3.0</v>
      </c>
      <c r="E20" s="105" t="s">
        <v>173</v>
      </c>
      <c r="F20" s="78"/>
      <c r="G20" s="92"/>
      <c r="H20" s="79"/>
      <c r="I20" s="80"/>
    </row>
    <row r="21">
      <c r="B21" s="66" t="s">
        <v>140</v>
      </c>
      <c r="C21" s="81"/>
      <c r="D21" s="93"/>
      <c r="E21" s="82"/>
      <c r="F21" s="82"/>
      <c r="G21" s="32"/>
      <c r="I21" s="83"/>
    </row>
    <row r="22">
      <c r="B22" s="82" t="s">
        <v>140</v>
      </c>
      <c r="C22" s="102"/>
      <c r="D22" s="103"/>
      <c r="E22" s="104"/>
      <c r="F22" s="104"/>
      <c r="G22" s="87"/>
      <c r="H22" s="88"/>
      <c r="I22" s="89"/>
    </row>
    <row r="23">
      <c r="B23" s="66" t="s">
        <v>160</v>
      </c>
      <c r="C23" s="75" t="s">
        <v>234</v>
      </c>
      <c r="D23" s="76">
        <v>1.0</v>
      </c>
      <c r="E23" s="78" t="s">
        <v>207</v>
      </c>
      <c r="F23" s="78">
        <v>1.0</v>
      </c>
      <c r="G23" s="92"/>
      <c r="H23" s="79"/>
      <c r="I23" s="80"/>
    </row>
    <row r="24">
      <c r="B24" s="66" t="s">
        <v>160</v>
      </c>
      <c r="C24" s="84"/>
      <c r="D24" s="85"/>
      <c r="E24" s="104"/>
      <c r="F24" s="87"/>
      <c r="G24" s="87"/>
      <c r="H24" s="88"/>
      <c r="I24" s="89"/>
    </row>
    <row r="25">
      <c r="B25" s="66" t="s">
        <v>166</v>
      </c>
      <c r="C25" s="81" t="s">
        <v>168</v>
      </c>
      <c r="D25" s="93">
        <v>3.0</v>
      </c>
      <c r="E25" s="107" t="s">
        <v>173</v>
      </c>
      <c r="F25" s="17"/>
      <c r="G25" s="32"/>
      <c r="I25" s="83"/>
    </row>
    <row r="26">
      <c r="B26" s="66" t="s">
        <v>166</v>
      </c>
      <c r="C26" s="84"/>
      <c r="D26" s="85"/>
      <c r="E26" s="86"/>
      <c r="F26" s="87"/>
      <c r="G26" s="87"/>
      <c r="H26" s="88"/>
      <c r="I26" s="89"/>
    </row>
    <row r="27">
      <c r="B27" s="32"/>
      <c r="C27" s="32"/>
      <c r="D27" s="32"/>
      <c r="E27" s="66" t="s">
        <v>209</v>
      </c>
      <c r="F27" s="66">
        <f t="shared" ref="F27:G27" si="1">SUM(F4:F26)</f>
        <v>79</v>
      </c>
      <c r="G27" s="66">
        <f t="shared" si="1"/>
        <v>0</v>
      </c>
    </row>
    <row r="28">
      <c r="B28" s="32"/>
      <c r="C28" s="32"/>
      <c r="D28" s="32"/>
      <c r="E28" s="66" t="s">
        <v>210</v>
      </c>
      <c r="F28" s="66">
        <v>200.0</v>
      </c>
      <c r="G28" s="66">
        <v>200.0</v>
      </c>
    </row>
    <row r="29">
      <c r="B29" s="32"/>
      <c r="C29" s="32"/>
      <c r="D29" s="32"/>
      <c r="E29" s="101" t="s">
        <v>211</v>
      </c>
      <c r="F29" s="101">
        <f t="shared" ref="F29:G29" si="2">F28-F27</f>
        <v>121</v>
      </c>
      <c r="G29" s="101">
        <f t="shared" si="2"/>
        <v>200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17" t="s">
        <v>5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/>
      <c r="D5" s="76"/>
      <c r="E5" s="91"/>
      <c r="F5" s="78"/>
      <c r="G5" s="42"/>
      <c r="H5" s="79"/>
      <c r="I5" s="80"/>
    </row>
    <row r="6">
      <c r="B6" s="66" t="s">
        <v>13</v>
      </c>
      <c r="C6" s="81"/>
      <c r="D6" s="93"/>
      <c r="E6" s="82"/>
      <c r="F6" s="17"/>
      <c r="G6" s="32"/>
      <c r="I6" s="83"/>
    </row>
    <row r="7">
      <c r="B7" s="66" t="s">
        <v>13</v>
      </c>
      <c r="C7" s="84"/>
      <c r="D7" s="85"/>
      <c r="E7" s="86"/>
      <c r="F7" s="87"/>
      <c r="G7" s="87"/>
      <c r="H7" s="88"/>
      <c r="I7" s="89"/>
    </row>
    <row r="8">
      <c r="B8" s="66" t="s">
        <v>36</v>
      </c>
      <c r="C8" s="75" t="s">
        <v>62</v>
      </c>
      <c r="D8" s="76">
        <v>10.0</v>
      </c>
      <c r="E8" s="91">
        <v>45719.0</v>
      </c>
      <c r="F8" s="42">
        <v>15.0</v>
      </c>
      <c r="G8" s="42"/>
      <c r="H8" s="79"/>
      <c r="I8" s="80"/>
    </row>
    <row r="9">
      <c r="B9" s="66" t="s">
        <v>36</v>
      </c>
      <c r="C9" s="81" t="s">
        <v>54</v>
      </c>
      <c r="D9" s="93">
        <v>10.0</v>
      </c>
      <c r="E9" s="107" t="s">
        <v>173</v>
      </c>
      <c r="F9" s="82"/>
      <c r="G9" s="32"/>
      <c r="I9" s="83"/>
    </row>
    <row r="10">
      <c r="B10" s="66" t="s">
        <v>36</v>
      </c>
      <c r="C10" s="81" t="s">
        <v>42</v>
      </c>
      <c r="D10" s="93">
        <v>35.0</v>
      </c>
      <c r="E10" s="82" t="s">
        <v>207</v>
      </c>
      <c r="F10" s="82">
        <v>35.0</v>
      </c>
      <c r="G10" s="17"/>
      <c r="I10" s="83"/>
    </row>
    <row r="11">
      <c r="B11" s="66" t="s">
        <v>36</v>
      </c>
      <c r="C11" s="81" t="s">
        <v>79</v>
      </c>
      <c r="D11" s="93">
        <v>10.0</v>
      </c>
      <c r="E11" s="82" t="s">
        <v>207</v>
      </c>
      <c r="F11" s="82">
        <v>10.0</v>
      </c>
      <c r="G11" s="32"/>
      <c r="I11" s="83"/>
    </row>
    <row r="12">
      <c r="B12" s="66" t="s">
        <v>36</v>
      </c>
      <c r="C12" s="81" t="s">
        <v>52</v>
      </c>
      <c r="D12" s="93">
        <v>33.0</v>
      </c>
      <c r="E12" s="82" t="s">
        <v>207</v>
      </c>
      <c r="F12" s="82">
        <v>33.0</v>
      </c>
      <c r="G12" s="17"/>
      <c r="I12" s="83"/>
    </row>
    <row r="13">
      <c r="B13" s="66" t="s">
        <v>36</v>
      </c>
      <c r="C13" s="102"/>
      <c r="D13" s="103"/>
      <c r="E13" s="104"/>
      <c r="F13" s="104"/>
      <c r="G13" s="104"/>
      <c r="H13" s="88"/>
      <c r="I13" s="89"/>
    </row>
    <row r="14">
      <c r="B14" s="66" t="s">
        <v>84</v>
      </c>
      <c r="C14" s="75" t="s">
        <v>235</v>
      </c>
      <c r="D14" s="76">
        <v>13.0</v>
      </c>
      <c r="E14" s="105" t="s">
        <v>173</v>
      </c>
      <c r="F14" s="78"/>
      <c r="G14" s="92"/>
      <c r="H14" s="79"/>
      <c r="I14" s="80"/>
    </row>
    <row r="15">
      <c r="B15" s="66" t="s">
        <v>84</v>
      </c>
      <c r="C15" s="81" t="s">
        <v>120</v>
      </c>
      <c r="D15" s="93">
        <v>6.0</v>
      </c>
      <c r="E15" s="82" t="s">
        <v>207</v>
      </c>
      <c r="F15" s="82">
        <v>6.0</v>
      </c>
      <c r="G15" s="66"/>
      <c r="I15" s="83"/>
    </row>
    <row r="16">
      <c r="B16" s="66" t="s">
        <v>84</v>
      </c>
      <c r="C16" s="81" t="s">
        <v>90</v>
      </c>
      <c r="D16" s="93">
        <v>14.0</v>
      </c>
      <c r="E16" s="94">
        <v>45719.0</v>
      </c>
      <c r="F16" s="82">
        <v>19.0</v>
      </c>
      <c r="G16" s="17"/>
      <c r="I16" s="83"/>
    </row>
    <row r="17">
      <c r="B17" s="66" t="s">
        <v>84</v>
      </c>
      <c r="C17" s="81" t="s">
        <v>117</v>
      </c>
      <c r="D17" s="35"/>
      <c r="E17" s="107" t="s">
        <v>236</v>
      </c>
      <c r="F17" s="82"/>
      <c r="G17" s="66"/>
      <c r="I17" s="83"/>
    </row>
    <row r="18">
      <c r="B18" s="66" t="s">
        <v>84</v>
      </c>
      <c r="C18" s="81"/>
      <c r="D18" s="35"/>
      <c r="E18" s="82"/>
      <c r="F18" s="82"/>
      <c r="G18" s="66"/>
      <c r="I18" s="83"/>
    </row>
    <row r="19">
      <c r="B19" s="66" t="s">
        <v>84</v>
      </c>
      <c r="C19" s="102"/>
      <c r="D19" s="103"/>
      <c r="E19" s="104"/>
      <c r="F19" s="86"/>
      <c r="G19" s="87"/>
      <c r="H19" s="88"/>
      <c r="I19" s="89"/>
    </row>
    <row r="20">
      <c r="B20" s="66" t="s">
        <v>140</v>
      </c>
      <c r="C20" s="75" t="s">
        <v>155</v>
      </c>
      <c r="D20" s="76">
        <v>3.0</v>
      </c>
      <c r="E20" s="77">
        <v>45659.0</v>
      </c>
      <c r="F20" s="78">
        <v>8.0</v>
      </c>
      <c r="G20" s="42">
        <v>13.0</v>
      </c>
      <c r="H20" s="79"/>
      <c r="I20" s="80"/>
    </row>
    <row r="21">
      <c r="B21" s="66" t="s">
        <v>140</v>
      </c>
      <c r="C21" s="81" t="s">
        <v>146</v>
      </c>
      <c r="D21" s="93">
        <v>14.0</v>
      </c>
      <c r="E21" s="82" t="s">
        <v>207</v>
      </c>
      <c r="F21" s="82">
        <v>14.0</v>
      </c>
      <c r="G21" s="32"/>
      <c r="I21" s="83"/>
    </row>
    <row r="22">
      <c r="B22" s="82" t="s">
        <v>140</v>
      </c>
      <c r="C22" s="102"/>
      <c r="D22" s="103"/>
      <c r="E22" s="104"/>
      <c r="F22" s="104"/>
      <c r="G22" s="87"/>
      <c r="H22" s="88"/>
      <c r="I22" s="89"/>
    </row>
    <row r="23">
      <c r="B23" s="66" t="s">
        <v>160</v>
      </c>
      <c r="C23" s="75" t="s">
        <v>237</v>
      </c>
      <c r="D23" s="76">
        <v>2.0</v>
      </c>
      <c r="E23" s="78" t="s">
        <v>238</v>
      </c>
      <c r="F23" s="78"/>
      <c r="G23" s="92"/>
      <c r="H23" s="79"/>
      <c r="I23" s="80"/>
    </row>
    <row r="24">
      <c r="B24" s="66" t="s">
        <v>160</v>
      </c>
      <c r="C24" s="84"/>
      <c r="D24" s="85"/>
      <c r="E24" s="104"/>
      <c r="F24" s="87"/>
      <c r="G24" s="87"/>
      <c r="H24" s="88"/>
      <c r="I24" s="89"/>
    </row>
    <row r="25">
      <c r="B25" s="66" t="s">
        <v>166</v>
      </c>
      <c r="C25" s="81" t="s">
        <v>171</v>
      </c>
      <c r="D25" s="93">
        <v>2.0</v>
      </c>
      <c r="E25" s="82" t="s">
        <v>207</v>
      </c>
      <c r="F25" s="17">
        <v>2.0</v>
      </c>
      <c r="G25" s="32"/>
      <c r="I25" s="83"/>
    </row>
    <row r="26">
      <c r="B26" s="66" t="s">
        <v>166</v>
      </c>
      <c r="C26" s="84"/>
      <c r="D26" s="85"/>
      <c r="E26" s="86"/>
      <c r="F26" s="87"/>
      <c r="G26" s="87"/>
      <c r="H26" s="88"/>
      <c r="I26" s="89"/>
    </row>
    <row r="27">
      <c r="B27" s="32"/>
      <c r="C27" s="32"/>
      <c r="D27" s="32"/>
      <c r="E27" s="66" t="s">
        <v>209</v>
      </c>
      <c r="F27" s="66">
        <f t="shared" ref="F27:G27" si="1">SUM(F4:F26)</f>
        <v>142</v>
      </c>
      <c r="G27" s="66">
        <f t="shared" si="1"/>
        <v>13</v>
      </c>
    </row>
    <row r="28">
      <c r="B28" s="32"/>
      <c r="C28" s="32"/>
      <c r="D28" s="32"/>
      <c r="E28" s="66" t="s">
        <v>210</v>
      </c>
      <c r="F28" s="66">
        <v>200.0</v>
      </c>
      <c r="G28" s="66">
        <v>200.0</v>
      </c>
    </row>
    <row r="29">
      <c r="B29" s="32"/>
      <c r="C29" s="32"/>
      <c r="D29" s="32"/>
      <c r="E29" s="101" t="s">
        <v>211</v>
      </c>
      <c r="F29" s="101">
        <f t="shared" ref="F29:G29" si="2">F28-F27</f>
        <v>58</v>
      </c>
      <c r="G29" s="101">
        <f t="shared" si="2"/>
        <v>187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17" t="s">
        <v>6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 t="s">
        <v>20</v>
      </c>
      <c r="D5" s="76">
        <v>18.0</v>
      </c>
      <c r="E5" s="91">
        <v>45719.0</v>
      </c>
      <c r="F5" s="78">
        <v>23.0</v>
      </c>
      <c r="G5" s="42"/>
      <c r="H5" s="79"/>
      <c r="I5" s="80"/>
    </row>
    <row r="6">
      <c r="B6" s="66" t="s">
        <v>13</v>
      </c>
      <c r="C6" s="81" t="s">
        <v>29</v>
      </c>
      <c r="D6" s="93">
        <v>10.0</v>
      </c>
      <c r="E6" s="94">
        <v>45719.0</v>
      </c>
      <c r="F6" s="17">
        <v>15.0</v>
      </c>
      <c r="G6" s="32"/>
      <c r="I6" s="83"/>
    </row>
    <row r="7">
      <c r="B7" s="66" t="s">
        <v>13</v>
      </c>
      <c r="C7" s="84"/>
      <c r="D7" s="85"/>
      <c r="E7" s="86"/>
      <c r="F7" s="87"/>
      <c r="G7" s="87"/>
      <c r="H7" s="88"/>
      <c r="I7" s="89"/>
    </row>
    <row r="8">
      <c r="B8" s="66" t="s">
        <v>36</v>
      </c>
      <c r="C8" s="75" t="s">
        <v>74</v>
      </c>
      <c r="D8" s="76">
        <v>26.0</v>
      </c>
      <c r="E8" s="105" t="s">
        <v>173</v>
      </c>
      <c r="F8" s="42"/>
      <c r="G8" s="42"/>
      <c r="H8" s="79"/>
      <c r="I8" s="80"/>
    </row>
    <row r="9">
      <c r="B9" s="66" t="s">
        <v>36</v>
      </c>
      <c r="C9" s="81" t="s">
        <v>239</v>
      </c>
      <c r="D9" s="93">
        <v>14.0</v>
      </c>
      <c r="E9" s="107" t="s">
        <v>173</v>
      </c>
      <c r="F9" s="82"/>
      <c r="G9" s="32"/>
      <c r="I9" s="83"/>
    </row>
    <row r="10">
      <c r="B10" s="66" t="s">
        <v>36</v>
      </c>
      <c r="C10" s="81" t="s">
        <v>53</v>
      </c>
      <c r="D10" s="93">
        <v>21.0</v>
      </c>
      <c r="E10" s="82" t="s">
        <v>207</v>
      </c>
      <c r="F10" s="82">
        <v>21.0</v>
      </c>
      <c r="G10" s="17"/>
      <c r="I10" s="83"/>
    </row>
    <row r="11">
      <c r="B11" s="66" t="s">
        <v>36</v>
      </c>
      <c r="C11" s="81" t="s">
        <v>80</v>
      </c>
      <c r="D11" s="93">
        <v>5.0</v>
      </c>
      <c r="E11" s="82" t="s">
        <v>207</v>
      </c>
      <c r="F11" s="82">
        <v>5.0</v>
      </c>
      <c r="G11" s="32"/>
      <c r="I11" s="83"/>
    </row>
    <row r="12">
      <c r="B12" s="66" t="s">
        <v>36</v>
      </c>
      <c r="C12" s="81"/>
      <c r="D12" s="93"/>
      <c r="E12" s="82"/>
      <c r="F12" s="82"/>
      <c r="G12" s="17"/>
      <c r="I12" s="83"/>
    </row>
    <row r="13">
      <c r="B13" s="66" t="s">
        <v>36</v>
      </c>
      <c r="C13" s="102"/>
      <c r="D13" s="103"/>
      <c r="E13" s="104"/>
      <c r="F13" s="104"/>
      <c r="G13" s="104"/>
      <c r="H13" s="88"/>
      <c r="I13" s="89"/>
    </row>
    <row r="14">
      <c r="B14" s="66" t="s">
        <v>84</v>
      </c>
      <c r="C14" s="75" t="s">
        <v>91</v>
      </c>
      <c r="D14" s="76">
        <v>32.0</v>
      </c>
      <c r="E14" s="91">
        <v>45719.0</v>
      </c>
      <c r="F14" s="78">
        <v>37.0</v>
      </c>
      <c r="G14" s="92"/>
      <c r="H14" s="79"/>
      <c r="I14" s="80"/>
    </row>
    <row r="15">
      <c r="B15" s="66" t="s">
        <v>84</v>
      </c>
      <c r="C15" s="81" t="s">
        <v>122</v>
      </c>
      <c r="D15" s="93">
        <v>18.0</v>
      </c>
      <c r="E15" s="107" t="s">
        <v>173</v>
      </c>
      <c r="F15" s="82"/>
      <c r="G15" s="66"/>
      <c r="I15" s="83"/>
    </row>
    <row r="16">
      <c r="B16" s="66" t="s">
        <v>84</v>
      </c>
      <c r="C16" s="81" t="s">
        <v>101</v>
      </c>
      <c r="D16" s="93">
        <v>16.0</v>
      </c>
      <c r="E16" s="98">
        <v>45658.0</v>
      </c>
      <c r="F16" s="82">
        <v>21.0</v>
      </c>
      <c r="G16" s="17"/>
      <c r="I16" s="83"/>
    </row>
    <row r="17">
      <c r="B17" s="66" t="s">
        <v>84</v>
      </c>
      <c r="C17" s="81" t="s">
        <v>240</v>
      </c>
      <c r="D17" s="35">
        <v>11.0</v>
      </c>
      <c r="E17" s="107" t="s">
        <v>173</v>
      </c>
      <c r="F17" s="82"/>
      <c r="G17" s="66"/>
      <c r="I17" s="83"/>
    </row>
    <row r="18">
      <c r="B18" s="66" t="s">
        <v>84</v>
      </c>
      <c r="C18" s="81" t="s">
        <v>177</v>
      </c>
      <c r="D18" s="35">
        <v>20.0</v>
      </c>
      <c r="E18" s="82" t="s">
        <v>173</v>
      </c>
      <c r="F18" s="82"/>
      <c r="G18" s="66"/>
      <c r="I18" s="83"/>
    </row>
    <row r="19">
      <c r="B19" s="66" t="s">
        <v>84</v>
      </c>
      <c r="C19" s="102" t="s">
        <v>111</v>
      </c>
      <c r="D19" s="103">
        <v>6.0</v>
      </c>
      <c r="E19" s="104" t="s">
        <v>207</v>
      </c>
      <c r="F19" s="104">
        <v>6.0</v>
      </c>
      <c r="G19" s="87"/>
      <c r="H19" s="88"/>
      <c r="I19" s="89"/>
    </row>
    <row r="20">
      <c r="B20" s="66" t="s">
        <v>140</v>
      </c>
      <c r="C20" s="75" t="s">
        <v>152</v>
      </c>
      <c r="D20" s="76">
        <v>3.0</v>
      </c>
      <c r="E20" s="105" t="s">
        <v>173</v>
      </c>
      <c r="F20" s="78"/>
      <c r="G20" s="92"/>
      <c r="H20" s="79"/>
      <c r="I20" s="80"/>
    </row>
    <row r="21">
      <c r="B21" s="66" t="s">
        <v>140</v>
      </c>
      <c r="C21" s="81"/>
      <c r="D21" s="93"/>
      <c r="E21" s="82"/>
      <c r="F21" s="82"/>
      <c r="G21" s="32"/>
      <c r="I21" s="83"/>
    </row>
    <row r="22">
      <c r="B22" s="82" t="s">
        <v>140</v>
      </c>
      <c r="C22" s="102"/>
      <c r="D22" s="103"/>
      <c r="E22" s="104"/>
      <c r="F22" s="104"/>
      <c r="G22" s="87"/>
      <c r="H22" s="88"/>
      <c r="I22" s="89"/>
    </row>
    <row r="23">
      <c r="B23" s="66" t="s">
        <v>160</v>
      </c>
      <c r="C23" s="75"/>
      <c r="D23" s="76"/>
      <c r="E23" s="78"/>
      <c r="F23" s="78"/>
      <c r="G23" s="92"/>
      <c r="H23" s="79"/>
      <c r="I23" s="80"/>
    </row>
    <row r="24">
      <c r="B24" s="66" t="s">
        <v>160</v>
      </c>
      <c r="C24" s="84"/>
      <c r="D24" s="85"/>
      <c r="E24" s="104"/>
      <c r="F24" s="87"/>
      <c r="G24" s="87"/>
      <c r="H24" s="88"/>
      <c r="I24" s="89"/>
    </row>
    <row r="25">
      <c r="B25" s="66" t="s">
        <v>166</v>
      </c>
      <c r="C25" s="81"/>
      <c r="D25" s="93"/>
      <c r="E25" s="82"/>
      <c r="F25" s="17"/>
      <c r="G25" s="32"/>
      <c r="I25" s="83"/>
    </row>
    <row r="26">
      <c r="B26" s="66" t="s">
        <v>166</v>
      </c>
      <c r="C26" s="84"/>
      <c r="D26" s="85"/>
      <c r="E26" s="86"/>
      <c r="F26" s="87"/>
      <c r="G26" s="87"/>
      <c r="H26" s="88"/>
      <c r="I26" s="89"/>
    </row>
    <row r="27">
      <c r="B27" s="82" t="s">
        <v>173</v>
      </c>
      <c r="C27" s="17" t="s">
        <v>177</v>
      </c>
      <c r="D27" s="106"/>
      <c r="E27" s="66"/>
      <c r="F27" s="17">
        <v>10.0</v>
      </c>
      <c r="G27" s="32"/>
    </row>
    <row r="28">
      <c r="B28" s="32"/>
      <c r="C28" s="32"/>
      <c r="D28" s="32"/>
      <c r="E28" s="66" t="s">
        <v>209</v>
      </c>
      <c r="F28" s="66">
        <f>SUM(F4:F27)</f>
        <v>138</v>
      </c>
      <c r="G28" s="66">
        <f>SUM(G4:G26)</f>
        <v>0</v>
      </c>
    </row>
    <row r="29">
      <c r="B29" s="32"/>
      <c r="C29" s="32"/>
      <c r="D29" s="32"/>
      <c r="E29" s="66" t="s">
        <v>210</v>
      </c>
      <c r="F29" s="66">
        <v>200.0</v>
      </c>
      <c r="G29" s="66">
        <v>200.0</v>
      </c>
    </row>
    <row r="30">
      <c r="B30" s="32"/>
      <c r="C30" s="32"/>
      <c r="D30" s="32"/>
      <c r="E30" s="101" t="s">
        <v>211</v>
      </c>
      <c r="F30" s="101">
        <f t="shared" ref="F30:G30" si="1">F29-F28</f>
        <v>62</v>
      </c>
      <c r="G30" s="101">
        <f t="shared" si="1"/>
        <v>200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17" t="s">
        <v>7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 t="s">
        <v>34</v>
      </c>
      <c r="D5" s="76">
        <v>7.0</v>
      </c>
      <c r="E5" s="105" t="s">
        <v>173</v>
      </c>
      <c r="F5" s="78"/>
      <c r="G5" s="42"/>
      <c r="H5" s="79"/>
      <c r="I5" s="80"/>
    </row>
    <row r="6">
      <c r="B6" s="66" t="s">
        <v>13</v>
      </c>
      <c r="C6" s="81" t="s">
        <v>241</v>
      </c>
      <c r="D6" s="93">
        <v>3.0</v>
      </c>
      <c r="E6" s="107" t="s">
        <v>173</v>
      </c>
      <c r="F6" s="17"/>
      <c r="G6" s="32"/>
      <c r="I6" s="83"/>
    </row>
    <row r="7">
      <c r="B7" s="66" t="s">
        <v>13</v>
      </c>
      <c r="C7" s="102" t="s">
        <v>30</v>
      </c>
      <c r="D7" s="110">
        <v>3.0</v>
      </c>
      <c r="E7" s="104" t="s">
        <v>207</v>
      </c>
      <c r="F7" s="111">
        <v>3.0</v>
      </c>
      <c r="G7" s="87"/>
      <c r="H7" s="88"/>
      <c r="I7" s="89"/>
    </row>
    <row r="8">
      <c r="B8" s="66" t="s">
        <v>36</v>
      </c>
      <c r="C8" s="75" t="s">
        <v>242</v>
      </c>
      <c r="D8" s="76">
        <v>25.0</v>
      </c>
      <c r="E8" s="105" t="s">
        <v>173</v>
      </c>
      <c r="F8" s="42"/>
      <c r="G8" s="42"/>
      <c r="H8" s="79"/>
      <c r="I8" s="80"/>
    </row>
    <row r="9">
      <c r="B9" s="66" t="s">
        <v>36</v>
      </c>
      <c r="C9" s="81" t="s">
        <v>181</v>
      </c>
      <c r="D9" s="93">
        <v>25.0</v>
      </c>
      <c r="E9" s="107" t="s">
        <v>173</v>
      </c>
      <c r="F9" s="82"/>
      <c r="G9" s="32"/>
      <c r="I9" s="83"/>
    </row>
    <row r="10">
      <c r="B10" s="66" t="s">
        <v>36</v>
      </c>
      <c r="C10" s="81" t="s">
        <v>44</v>
      </c>
      <c r="D10" s="93">
        <v>16.0</v>
      </c>
      <c r="E10" s="98">
        <v>45658.0</v>
      </c>
      <c r="F10" s="82">
        <v>21.0</v>
      </c>
      <c r="G10" s="17"/>
      <c r="I10" s="83"/>
    </row>
    <row r="11">
      <c r="B11" s="66" t="s">
        <v>36</v>
      </c>
      <c r="C11" s="81"/>
      <c r="D11" s="93"/>
      <c r="E11" s="82"/>
      <c r="F11" s="82"/>
      <c r="G11" s="32"/>
      <c r="I11" s="83"/>
    </row>
    <row r="12">
      <c r="B12" s="66" t="s">
        <v>36</v>
      </c>
      <c r="C12" s="81" t="s">
        <v>81</v>
      </c>
      <c r="D12" s="93">
        <v>4.0</v>
      </c>
      <c r="E12" s="82" t="s">
        <v>207</v>
      </c>
      <c r="F12" s="82">
        <v>4.0</v>
      </c>
      <c r="G12" s="17"/>
      <c r="I12" s="83"/>
    </row>
    <row r="13">
      <c r="B13" s="66" t="s">
        <v>36</v>
      </c>
      <c r="C13" s="102"/>
      <c r="D13" s="103"/>
      <c r="E13" s="104"/>
      <c r="F13" s="104"/>
      <c r="G13" s="104"/>
      <c r="H13" s="88"/>
      <c r="I13" s="89"/>
    </row>
    <row r="14">
      <c r="B14" s="66" t="s">
        <v>84</v>
      </c>
      <c r="C14" s="75" t="s">
        <v>243</v>
      </c>
      <c r="D14" s="76">
        <v>17.0</v>
      </c>
      <c r="E14" s="105" t="s">
        <v>173</v>
      </c>
      <c r="F14" s="78"/>
      <c r="G14" s="92"/>
      <c r="H14" s="79"/>
      <c r="I14" s="80"/>
    </row>
    <row r="15">
      <c r="B15" s="66" t="s">
        <v>84</v>
      </c>
      <c r="C15" s="81" t="s">
        <v>92</v>
      </c>
      <c r="D15" s="93">
        <v>15.0</v>
      </c>
      <c r="E15" s="98">
        <v>45658.0</v>
      </c>
      <c r="F15" s="82">
        <v>20.0</v>
      </c>
      <c r="G15" s="66"/>
      <c r="I15" s="83"/>
    </row>
    <row r="16">
      <c r="B16" s="66" t="s">
        <v>84</v>
      </c>
      <c r="C16" s="81" t="s">
        <v>102</v>
      </c>
      <c r="D16" s="93">
        <v>15.0</v>
      </c>
      <c r="E16" s="82" t="s">
        <v>207</v>
      </c>
      <c r="F16" s="82">
        <v>15.0</v>
      </c>
      <c r="G16" s="17"/>
      <c r="I16" s="83"/>
    </row>
    <row r="17">
      <c r="B17" s="66" t="s">
        <v>84</v>
      </c>
      <c r="C17" s="81" t="s">
        <v>244</v>
      </c>
      <c r="D17" s="35">
        <v>6.0</v>
      </c>
      <c r="E17" s="107" t="s">
        <v>173</v>
      </c>
      <c r="F17" s="82"/>
      <c r="G17" s="66"/>
      <c r="I17" s="83"/>
    </row>
    <row r="18">
      <c r="B18" s="66" t="s">
        <v>84</v>
      </c>
      <c r="C18" s="81" t="s">
        <v>112</v>
      </c>
      <c r="D18" s="35">
        <v>12.0</v>
      </c>
      <c r="E18" s="82" t="s">
        <v>207</v>
      </c>
      <c r="F18" s="82">
        <v>12.0</v>
      </c>
      <c r="G18" s="66"/>
      <c r="I18" s="83"/>
    </row>
    <row r="19">
      <c r="B19" s="66" t="s">
        <v>84</v>
      </c>
      <c r="C19" s="102"/>
      <c r="D19" s="103"/>
      <c r="E19" s="104"/>
      <c r="F19" s="104"/>
      <c r="G19" s="87"/>
      <c r="H19" s="88"/>
      <c r="I19" s="89"/>
    </row>
    <row r="20">
      <c r="B20" s="66" t="s">
        <v>140</v>
      </c>
      <c r="C20" s="75" t="s">
        <v>148</v>
      </c>
      <c r="D20" s="76">
        <v>12.0</v>
      </c>
      <c r="E20" s="78" t="s">
        <v>207</v>
      </c>
      <c r="F20" s="78">
        <v>12.0</v>
      </c>
      <c r="G20" s="92"/>
      <c r="H20" s="79"/>
      <c r="I20" s="80"/>
    </row>
    <row r="21">
      <c r="B21" s="66" t="s">
        <v>140</v>
      </c>
      <c r="C21" s="81" t="s">
        <v>156</v>
      </c>
      <c r="D21" s="93">
        <v>6.0</v>
      </c>
      <c r="E21" s="98">
        <v>45658.0</v>
      </c>
      <c r="F21" s="82">
        <v>11.0</v>
      </c>
      <c r="G21" s="32"/>
      <c r="I21" s="83"/>
    </row>
    <row r="22">
      <c r="B22" s="82" t="s">
        <v>140</v>
      </c>
      <c r="C22" s="102" t="s">
        <v>159</v>
      </c>
      <c r="D22" s="103">
        <v>2.0</v>
      </c>
      <c r="E22" s="104" t="s">
        <v>207</v>
      </c>
      <c r="F22" s="104">
        <v>2.0</v>
      </c>
      <c r="G22" s="87"/>
      <c r="H22" s="88"/>
      <c r="I22" s="89"/>
    </row>
    <row r="23">
      <c r="B23" s="66" t="s">
        <v>160</v>
      </c>
      <c r="C23" s="75" t="s">
        <v>245</v>
      </c>
      <c r="D23" s="76">
        <v>2.0</v>
      </c>
      <c r="E23" s="105" t="s">
        <v>173</v>
      </c>
      <c r="F23" s="78"/>
      <c r="G23" s="92"/>
      <c r="H23" s="79"/>
      <c r="I23" s="80"/>
    </row>
    <row r="24">
      <c r="B24" s="66" t="s">
        <v>160</v>
      </c>
      <c r="C24" s="102" t="s">
        <v>246</v>
      </c>
      <c r="D24" s="110">
        <v>2.0</v>
      </c>
      <c r="E24" s="109" t="s">
        <v>173</v>
      </c>
      <c r="F24" s="87"/>
      <c r="G24" s="87"/>
      <c r="H24" s="88"/>
      <c r="I24" s="89"/>
    </row>
    <row r="25">
      <c r="B25" s="66" t="s">
        <v>166</v>
      </c>
      <c r="C25" s="81" t="s">
        <v>170</v>
      </c>
      <c r="D25" s="93">
        <v>2.0</v>
      </c>
      <c r="E25" s="107" t="s">
        <v>173</v>
      </c>
      <c r="F25" s="17"/>
      <c r="G25" s="32"/>
      <c r="I25" s="83"/>
    </row>
    <row r="26">
      <c r="B26" s="66" t="s">
        <v>166</v>
      </c>
      <c r="C26" s="102" t="s">
        <v>247</v>
      </c>
      <c r="D26" s="110">
        <v>2.0</v>
      </c>
      <c r="E26" s="109" t="s">
        <v>173</v>
      </c>
      <c r="F26" s="87"/>
      <c r="G26" s="87"/>
      <c r="H26" s="88"/>
      <c r="I26" s="89"/>
    </row>
    <row r="27">
      <c r="B27" s="32"/>
      <c r="C27" s="32"/>
      <c r="D27" s="32"/>
      <c r="E27" s="66" t="s">
        <v>209</v>
      </c>
      <c r="F27" s="66">
        <f t="shared" ref="F27:G27" si="1">SUM(F4:F26)</f>
        <v>100</v>
      </c>
      <c r="G27" s="66">
        <f t="shared" si="1"/>
        <v>0</v>
      </c>
    </row>
    <row r="28">
      <c r="B28" s="32"/>
      <c r="C28" s="32"/>
      <c r="D28" s="32"/>
      <c r="E28" s="66" t="s">
        <v>210</v>
      </c>
      <c r="F28" s="66">
        <v>200.0</v>
      </c>
      <c r="G28" s="66">
        <v>200.0</v>
      </c>
    </row>
    <row r="29">
      <c r="B29" s="32"/>
      <c r="C29" s="32"/>
      <c r="D29" s="32"/>
      <c r="E29" s="101" t="s">
        <v>211</v>
      </c>
      <c r="F29" s="101">
        <f t="shared" ref="F29:G29" si="2">F28-F27</f>
        <v>100</v>
      </c>
      <c r="G29" s="101">
        <f t="shared" si="2"/>
        <v>200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17" t="s">
        <v>8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 t="s">
        <v>22</v>
      </c>
      <c r="D5" s="76">
        <v>12.0</v>
      </c>
      <c r="E5" s="91">
        <v>45719.0</v>
      </c>
      <c r="F5" s="78">
        <v>17.0</v>
      </c>
      <c r="G5" s="42"/>
      <c r="H5" s="79"/>
      <c r="I5" s="80"/>
    </row>
    <row r="6">
      <c r="B6" s="66" t="s">
        <v>13</v>
      </c>
      <c r="C6" s="81"/>
      <c r="D6" s="93"/>
      <c r="E6" s="82"/>
      <c r="F6" s="17"/>
      <c r="G6" s="32"/>
      <c r="I6" s="83"/>
    </row>
    <row r="7">
      <c r="B7" s="66" t="s">
        <v>13</v>
      </c>
      <c r="C7" s="102"/>
      <c r="D7" s="110"/>
      <c r="E7" s="104"/>
      <c r="F7" s="111"/>
      <c r="G7" s="87"/>
      <c r="H7" s="88"/>
      <c r="I7" s="89"/>
    </row>
    <row r="8">
      <c r="B8" s="66" t="s">
        <v>36</v>
      </c>
      <c r="C8" s="75" t="s">
        <v>55</v>
      </c>
      <c r="D8" s="76">
        <v>7.0</v>
      </c>
      <c r="E8" s="77">
        <v>45658.0</v>
      </c>
      <c r="F8" s="42">
        <v>12.0</v>
      </c>
      <c r="G8" s="42"/>
      <c r="H8" s="79"/>
      <c r="I8" s="80"/>
    </row>
    <row r="9">
      <c r="B9" s="66" t="s">
        <v>36</v>
      </c>
      <c r="C9" s="81" t="s">
        <v>248</v>
      </c>
      <c r="D9" s="93">
        <v>4.0</v>
      </c>
      <c r="E9" s="107" t="s">
        <v>173</v>
      </c>
      <c r="F9" s="82"/>
      <c r="G9" s="32"/>
      <c r="I9" s="83"/>
    </row>
    <row r="10">
      <c r="B10" s="66" t="s">
        <v>36</v>
      </c>
      <c r="C10" s="81" t="s">
        <v>65</v>
      </c>
      <c r="D10" s="93">
        <v>8.0</v>
      </c>
      <c r="E10" s="82" t="s">
        <v>207</v>
      </c>
      <c r="F10" s="82">
        <v>8.0</v>
      </c>
      <c r="G10" s="17"/>
      <c r="I10" s="83"/>
    </row>
    <row r="11">
      <c r="B11" s="66" t="s">
        <v>36</v>
      </c>
      <c r="C11" s="81"/>
      <c r="D11" s="93"/>
      <c r="E11" s="82"/>
      <c r="F11" s="82"/>
      <c r="G11" s="32"/>
      <c r="I11" s="83"/>
    </row>
    <row r="12">
      <c r="B12" s="66" t="s">
        <v>36</v>
      </c>
      <c r="C12" s="81"/>
      <c r="D12" s="93"/>
      <c r="E12" s="82"/>
      <c r="F12" s="82"/>
      <c r="G12" s="17"/>
      <c r="I12" s="83"/>
    </row>
    <row r="13">
      <c r="B13" s="66" t="s">
        <v>36</v>
      </c>
      <c r="C13" s="102"/>
      <c r="D13" s="103"/>
      <c r="E13" s="104"/>
      <c r="F13" s="104"/>
      <c r="G13" s="104"/>
      <c r="H13" s="88"/>
      <c r="I13" s="89"/>
    </row>
    <row r="14">
      <c r="B14" s="66" t="s">
        <v>84</v>
      </c>
      <c r="C14" s="75" t="s">
        <v>93</v>
      </c>
      <c r="D14" s="76">
        <v>36.0</v>
      </c>
      <c r="E14" s="77">
        <v>45658.0</v>
      </c>
      <c r="F14" s="78">
        <v>35.0</v>
      </c>
      <c r="G14" s="92"/>
      <c r="H14" s="79"/>
      <c r="I14" s="80"/>
    </row>
    <row r="15">
      <c r="B15" s="66" t="s">
        <v>84</v>
      </c>
      <c r="C15" s="81" t="s">
        <v>249</v>
      </c>
      <c r="D15" s="93">
        <v>13.0</v>
      </c>
      <c r="E15" s="107" t="s">
        <v>173</v>
      </c>
      <c r="F15" s="82"/>
      <c r="G15" s="66"/>
      <c r="I15" s="83"/>
    </row>
    <row r="16">
      <c r="B16" s="66" t="s">
        <v>84</v>
      </c>
      <c r="C16" s="81" t="s">
        <v>113</v>
      </c>
      <c r="D16" s="93">
        <v>16.0</v>
      </c>
      <c r="E16" s="94">
        <v>45719.0</v>
      </c>
      <c r="F16" s="82">
        <v>21.0</v>
      </c>
      <c r="G16" s="17"/>
      <c r="I16" s="83"/>
    </row>
    <row r="17">
      <c r="B17" s="66" t="s">
        <v>84</v>
      </c>
      <c r="C17" s="81" t="s">
        <v>250</v>
      </c>
      <c r="D17" s="35">
        <v>2.0</v>
      </c>
      <c r="E17" s="107" t="s">
        <v>173</v>
      </c>
      <c r="F17" s="82"/>
      <c r="G17" s="66"/>
      <c r="I17" s="83"/>
    </row>
    <row r="18">
      <c r="B18" s="66" t="s">
        <v>84</v>
      </c>
      <c r="C18" s="81" t="s">
        <v>103</v>
      </c>
      <c r="D18" s="35">
        <v>27.0</v>
      </c>
      <c r="E18" s="82" t="s">
        <v>207</v>
      </c>
      <c r="F18" s="82">
        <v>27.0</v>
      </c>
      <c r="G18" s="66"/>
      <c r="I18" s="83"/>
    </row>
    <row r="19">
      <c r="B19" s="66" t="s">
        <v>84</v>
      </c>
      <c r="C19" s="102"/>
      <c r="D19" s="103"/>
      <c r="E19" s="104"/>
      <c r="F19" s="104"/>
      <c r="G19" s="87"/>
      <c r="H19" s="88"/>
      <c r="I19" s="89"/>
    </row>
    <row r="20">
      <c r="B20" s="66" t="s">
        <v>140</v>
      </c>
      <c r="C20" s="75" t="s">
        <v>251</v>
      </c>
      <c r="D20" s="76">
        <v>3.0</v>
      </c>
      <c r="E20" s="107" t="s">
        <v>173</v>
      </c>
      <c r="F20" s="78"/>
      <c r="G20" s="92"/>
      <c r="H20" s="79"/>
      <c r="I20" s="80"/>
    </row>
    <row r="21">
      <c r="B21" s="66" t="s">
        <v>140</v>
      </c>
      <c r="C21" s="81" t="s">
        <v>252</v>
      </c>
      <c r="D21" s="93">
        <v>3.0</v>
      </c>
      <c r="E21" s="107" t="s">
        <v>173</v>
      </c>
      <c r="F21" s="82"/>
      <c r="G21" s="32"/>
      <c r="I21" s="83"/>
    </row>
    <row r="22">
      <c r="B22" s="82" t="s">
        <v>140</v>
      </c>
      <c r="C22" s="102" t="s">
        <v>149</v>
      </c>
      <c r="D22" s="103">
        <v>8.0</v>
      </c>
      <c r="E22" s="104" t="s">
        <v>207</v>
      </c>
      <c r="F22" s="104">
        <v>8.0</v>
      </c>
      <c r="G22" s="87"/>
      <c r="H22" s="88"/>
      <c r="I22" s="89"/>
    </row>
    <row r="23">
      <c r="B23" s="66" t="s">
        <v>160</v>
      </c>
      <c r="C23" s="75" t="s">
        <v>253</v>
      </c>
      <c r="D23" s="76">
        <v>1.0</v>
      </c>
      <c r="E23" s="105" t="s">
        <v>173</v>
      </c>
      <c r="F23" s="78"/>
      <c r="G23" s="92"/>
      <c r="H23" s="79"/>
      <c r="I23" s="80"/>
    </row>
    <row r="24">
      <c r="B24" s="66" t="s">
        <v>160</v>
      </c>
      <c r="C24" s="102"/>
      <c r="D24" s="110"/>
      <c r="E24" s="104"/>
      <c r="F24" s="87"/>
      <c r="G24" s="87"/>
      <c r="H24" s="88"/>
      <c r="I24" s="89"/>
    </row>
    <row r="25">
      <c r="B25" s="66" t="s">
        <v>166</v>
      </c>
      <c r="C25" s="81" t="s">
        <v>169</v>
      </c>
      <c r="D25" s="93">
        <v>1.0</v>
      </c>
      <c r="E25" s="107" t="s">
        <v>173</v>
      </c>
      <c r="F25" s="17"/>
      <c r="G25" s="32"/>
      <c r="I25" s="83"/>
    </row>
    <row r="26">
      <c r="B26" s="66" t="s">
        <v>166</v>
      </c>
      <c r="C26" s="102"/>
      <c r="D26" s="110"/>
      <c r="E26" s="104"/>
      <c r="F26" s="87"/>
      <c r="G26" s="87"/>
      <c r="H26" s="88"/>
      <c r="I26" s="89"/>
    </row>
    <row r="27">
      <c r="B27" s="32"/>
      <c r="C27" s="32"/>
      <c r="D27" s="32"/>
      <c r="E27" s="66" t="s">
        <v>209</v>
      </c>
      <c r="F27" s="66">
        <f t="shared" ref="F27:G27" si="1">SUM(F4:F26)</f>
        <v>128</v>
      </c>
      <c r="G27" s="66">
        <f t="shared" si="1"/>
        <v>0</v>
      </c>
    </row>
    <row r="28">
      <c r="B28" s="32"/>
      <c r="C28" s="32"/>
      <c r="D28" s="32"/>
      <c r="E28" s="66" t="s">
        <v>210</v>
      </c>
      <c r="F28" s="66">
        <v>200.0</v>
      </c>
      <c r="G28" s="66">
        <v>200.0</v>
      </c>
    </row>
    <row r="29">
      <c r="B29" s="32"/>
      <c r="C29" s="32"/>
      <c r="D29" s="32"/>
      <c r="E29" s="101" t="s">
        <v>211</v>
      </c>
      <c r="F29" s="101">
        <f t="shared" ref="F29:G29" si="2">F28-F27</f>
        <v>72</v>
      </c>
      <c r="G29" s="101">
        <f t="shared" si="2"/>
        <v>200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</cols>
  <sheetData>
    <row r="3">
      <c r="B3" s="32"/>
      <c r="C3" s="17" t="s">
        <v>9</v>
      </c>
      <c r="D3" s="32"/>
      <c r="E3" s="32"/>
      <c r="F3" s="32"/>
      <c r="G3" s="32"/>
    </row>
    <row r="4">
      <c r="B4" s="32"/>
      <c r="C4" s="65" t="s">
        <v>11</v>
      </c>
      <c r="D4" s="34" t="s">
        <v>201</v>
      </c>
      <c r="E4" s="65" t="s">
        <v>202</v>
      </c>
      <c r="F4" s="34" t="s">
        <v>203</v>
      </c>
      <c r="G4" s="34" t="s">
        <v>204</v>
      </c>
      <c r="H4" s="34" t="s">
        <v>205</v>
      </c>
      <c r="I4" s="34" t="s">
        <v>206</v>
      </c>
    </row>
    <row r="5">
      <c r="B5" s="66" t="s">
        <v>13</v>
      </c>
      <c r="C5" s="75" t="s">
        <v>31</v>
      </c>
      <c r="D5" s="76">
        <v>14.0</v>
      </c>
      <c r="E5" s="105" t="s">
        <v>173</v>
      </c>
      <c r="F5" s="78"/>
      <c r="G5" s="42"/>
      <c r="H5" s="79"/>
      <c r="I5" s="80"/>
    </row>
    <row r="6">
      <c r="B6" s="66" t="s">
        <v>13</v>
      </c>
      <c r="C6" s="81" t="s">
        <v>23</v>
      </c>
      <c r="D6" s="93">
        <v>23.0</v>
      </c>
      <c r="E6" s="82" t="s">
        <v>207</v>
      </c>
      <c r="F6" s="17">
        <v>23.0</v>
      </c>
      <c r="G6" s="32"/>
      <c r="I6" s="83"/>
    </row>
    <row r="7">
      <c r="B7" s="66" t="s">
        <v>13</v>
      </c>
      <c r="C7" s="102"/>
      <c r="D7" s="110"/>
      <c r="E7" s="104"/>
      <c r="F7" s="111"/>
      <c r="G7" s="87"/>
      <c r="H7" s="88"/>
      <c r="I7" s="89"/>
    </row>
    <row r="8">
      <c r="B8" s="66" t="s">
        <v>36</v>
      </c>
      <c r="C8" s="75" t="s">
        <v>46</v>
      </c>
      <c r="D8" s="76">
        <v>30.0</v>
      </c>
      <c r="E8" s="77">
        <v>45660.0</v>
      </c>
      <c r="F8" s="42">
        <v>35.0</v>
      </c>
      <c r="G8" s="42">
        <v>40.0</v>
      </c>
      <c r="H8" s="112">
        <v>45.0</v>
      </c>
      <c r="I8" s="80"/>
    </row>
    <row r="9">
      <c r="B9" s="66" t="s">
        <v>36</v>
      </c>
      <c r="C9" s="81" t="s">
        <v>254</v>
      </c>
      <c r="D9" s="93">
        <v>2.0</v>
      </c>
      <c r="E9" s="107" t="s">
        <v>173</v>
      </c>
      <c r="F9" s="82"/>
      <c r="G9" s="32"/>
      <c r="I9" s="83"/>
    </row>
    <row r="10">
      <c r="B10" s="66" t="s">
        <v>36</v>
      </c>
      <c r="C10" s="81" t="s">
        <v>255</v>
      </c>
      <c r="D10" s="93">
        <v>1.0</v>
      </c>
      <c r="E10" s="107" t="s">
        <v>173</v>
      </c>
      <c r="F10" s="82"/>
      <c r="G10" s="17"/>
      <c r="I10" s="83"/>
    </row>
    <row r="11">
      <c r="B11" s="66" t="s">
        <v>36</v>
      </c>
      <c r="C11" s="81"/>
      <c r="D11" s="93"/>
      <c r="E11" s="82"/>
      <c r="F11" s="82"/>
      <c r="G11" s="32"/>
      <c r="I11" s="83"/>
    </row>
    <row r="12">
      <c r="B12" s="66" t="s">
        <v>36</v>
      </c>
      <c r="C12" s="81"/>
      <c r="D12" s="93"/>
      <c r="E12" s="82"/>
      <c r="F12" s="82"/>
      <c r="G12" s="17"/>
      <c r="I12" s="83"/>
    </row>
    <row r="13">
      <c r="B13" s="66" t="s">
        <v>36</v>
      </c>
      <c r="C13" s="102"/>
      <c r="D13" s="103"/>
      <c r="E13" s="104"/>
      <c r="F13" s="104"/>
      <c r="G13" s="104"/>
      <c r="H13" s="88"/>
      <c r="I13" s="89"/>
    </row>
    <row r="14">
      <c r="B14" s="66" t="s">
        <v>84</v>
      </c>
      <c r="C14" s="75" t="s">
        <v>104</v>
      </c>
      <c r="D14" s="76">
        <v>19.0</v>
      </c>
      <c r="E14" s="91">
        <v>45719.0</v>
      </c>
      <c r="F14" s="78">
        <v>24.0</v>
      </c>
      <c r="G14" s="92"/>
      <c r="H14" s="79"/>
      <c r="I14" s="80"/>
    </row>
    <row r="15">
      <c r="B15" s="66" t="s">
        <v>84</v>
      </c>
      <c r="C15" s="81" t="s">
        <v>114</v>
      </c>
      <c r="D15" s="93">
        <v>15.0</v>
      </c>
      <c r="E15" s="94">
        <v>45691.0</v>
      </c>
      <c r="F15" s="82">
        <v>20.0</v>
      </c>
      <c r="G15" s="82">
        <v>25.0</v>
      </c>
      <c r="I15" s="83"/>
    </row>
    <row r="16">
      <c r="B16" s="66" t="s">
        <v>84</v>
      </c>
      <c r="C16" s="81" t="s">
        <v>106</v>
      </c>
      <c r="D16" s="93">
        <v>3.0</v>
      </c>
      <c r="E16" s="107" t="s">
        <v>173</v>
      </c>
      <c r="F16" s="82"/>
      <c r="G16" s="32"/>
      <c r="I16" s="83"/>
    </row>
    <row r="17">
      <c r="B17" s="66" t="s">
        <v>84</v>
      </c>
      <c r="C17" s="81"/>
      <c r="D17" s="35"/>
      <c r="E17" s="82"/>
      <c r="F17" s="82"/>
      <c r="G17" s="66"/>
      <c r="I17" s="83"/>
    </row>
    <row r="18">
      <c r="B18" s="66" t="s">
        <v>84</v>
      </c>
      <c r="C18" s="81"/>
      <c r="D18" s="35"/>
      <c r="E18" s="82"/>
      <c r="F18" s="82"/>
      <c r="G18" s="66"/>
      <c r="I18" s="83"/>
    </row>
    <row r="19">
      <c r="B19" s="66" t="s">
        <v>84</v>
      </c>
      <c r="C19" s="102"/>
      <c r="D19" s="103"/>
      <c r="E19" s="104"/>
      <c r="F19" s="104"/>
      <c r="G19" s="87"/>
      <c r="H19" s="88"/>
      <c r="I19" s="89"/>
    </row>
    <row r="20">
      <c r="B20" s="66" t="s">
        <v>140</v>
      </c>
      <c r="C20" s="75" t="s">
        <v>150</v>
      </c>
      <c r="D20" s="76">
        <v>16.0</v>
      </c>
      <c r="E20" s="78" t="s">
        <v>207</v>
      </c>
      <c r="F20" s="78">
        <v>16.0</v>
      </c>
      <c r="G20" s="92"/>
      <c r="H20" s="79"/>
      <c r="I20" s="80"/>
    </row>
    <row r="21">
      <c r="B21" s="66" t="s">
        <v>140</v>
      </c>
      <c r="C21" s="81"/>
      <c r="D21" s="93"/>
      <c r="E21" s="82"/>
      <c r="F21" s="82"/>
      <c r="G21" s="32"/>
      <c r="I21" s="83"/>
    </row>
    <row r="22">
      <c r="B22" s="82" t="s">
        <v>140</v>
      </c>
      <c r="C22" s="102"/>
      <c r="D22" s="103"/>
      <c r="E22" s="104"/>
      <c r="F22" s="104"/>
      <c r="G22" s="87"/>
      <c r="H22" s="88"/>
      <c r="I22" s="89"/>
    </row>
    <row r="23">
      <c r="B23" s="66" t="s">
        <v>160</v>
      </c>
      <c r="C23" s="75" t="s">
        <v>256</v>
      </c>
      <c r="D23" s="76">
        <v>1.0</v>
      </c>
      <c r="E23" s="105" t="s">
        <v>173</v>
      </c>
      <c r="F23" s="78"/>
      <c r="G23" s="92"/>
      <c r="H23" s="79"/>
      <c r="I23" s="80"/>
    </row>
    <row r="24">
      <c r="B24" s="66" t="s">
        <v>160</v>
      </c>
      <c r="C24" s="102"/>
      <c r="D24" s="110"/>
      <c r="E24" s="104"/>
      <c r="F24" s="87"/>
      <c r="G24" s="87"/>
      <c r="H24" s="88"/>
      <c r="I24" s="89"/>
    </row>
    <row r="25">
      <c r="B25" s="66" t="s">
        <v>166</v>
      </c>
      <c r="C25" s="81" t="s">
        <v>172</v>
      </c>
      <c r="D25" s="93">
        <v>1.0</v>
      </c>
      <c r="E25" s="82" t="s">
        <v>207</v>
      </c>
      <c r="F25" s="17">
        <v>1.0</v>
      </c>
      <c r="G25" s="32"/>
      <c r="I25" s="83"/>
    </row>
    <row r="26">
      <c r="B26" s="66" t="s">
        <v>166</v>
      </c>
      <c r="C26" s="102"/>
      <c r="D26" s="110"/>
      <c r="E26" s="104"/>
      <c r="F26" s="87"/>
      <c r="G26" s="87"/>
      <c r="H26" s="88"/>
      <c r="I26" s="89"/>
    </row>
    <row r="27">
      <c r="B27" s="32"/>
      <c r="C27" s="32"/>
      <c r="D27" s="32"/>
      <c r="E27" s="66" t="s">
        <v>209</v>
      </c>
      <c r="F27" s="66">
        <f t="shared" ref="F27:G27" si="1">SUM(F4:F26)</f>
        <v>119</v>
      </c>
      <c r="G27" s="66">
        <f t="shared" si="1"/>
        <v>65</v>
      </c>
    </row>
    <row r="28">
      <c r="B28" s="32"/>
      <c r="C28" s="32"/>
      <c r="D28" s="32"/>
      <c r="E28" s="66" t="s">
        <v>210</v>
      </c>
      <c r="F28" s="66">
        <v>200.0</v>
      </c>
      <c r="G28" s="66">
        <v>200.0</v>
      </c>
    </row>
    <row r="29">
      <c r="B29" s="32"/>
      <c r="C29" s="32"/>
      <c r="D29" s="32"/>
      <c r="E29" s="101" t="s">
        <v>211</v>
      </c>
      <c r="F29" s="101">
        <f t="shared" ref="F29:G29" si="2">F28-F27</f>
        <v>81</v>
      </c>
      <c r="G29" s="101">
        <f t="shared" si="2"/>
        <v>135</v>
      </c>
    </row>
  </sheetData>
  <drawing r:id="rId1"/>
</worksheet>
</file>